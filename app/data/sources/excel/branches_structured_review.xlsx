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76" activeTab="1"/>
  </bookViews>
  <sheets>
    <sheet name="README" sheetId="1" r:id="rId1"/>
    <sheet name="Structured_Branches" sheetId="2" r:id="rId2"/>
    <sheet name="City_Summary" sheetId="3" r:id="rId3"/>
  </sheets>
  <definedNames>
    <definedName name="_xlnm._FilterDatabase" localSheetId="1" hidden="1">Structured_Branches!$A$1:$N$62</definedName>
    <definedName name="_xlnm._FilterDatabase" localSheetId="2" hidden="1">City_Summary!$A$1:$B$28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OpenAI</author>
  </authors>
  <commentList>
    <comment ref="A1" authorId="0">
      <text>
        <r>
          <rPr>
            <sz val="10"/>
            <rFont val="SimSun"/>
            <charset val="134"/>
          </rPr>
          <t>Source row number from uploaded branches.xlsx</t>
        </r>
      </text>
    </comment>
    <comment ref="N1" authorId="0">
      <text>
        <r>
          <rPr>
            <sz val="10"/>
            <rFont val="SimSun"/>
            <charset val="134"/>
          </rPr>
          <t>Original free-text branch line from source Excel for traceability</t>
        </r>
      </text>
    </comment>
  </commentList>
</comments>
</file>

<file path=xl/sharedStrings.xml><?xml version="1.0" encoding="utf-8"?>
<sst xmlns="http://schemas.openxmlformats.org/spreadsheetml/2006/main" count="567" uniqueCount="320">
  <si>
    <t>Structured branch workbook</t>
  </si>
  <si>
    <t>Built from uploaded source file</t>
  </si>
  <si>
    <t>branches.xlsx</t>
  </si>
  <si>
    <t>Merged with runtime coordinates file</t>
  </si>
  <si>
    <t>branches_with_coordinates.csv</t>
  </si>
  <si>
    <t>Merge key used</t>
  </si>
  <si>
    <t>map_url</t>
  </si>
  <si>
    <t>Rows in source</t>
  </si>
  <si>
    <t>Rows matched to runtime</t>
  </si>
  <si>
    <t>Unmatched rows</t>
  </si>
  <si>
    <t>Review note</t>
  </si>
  <si>
    <t>This workbook restructures the raw source into a clean tabular format for review.</t>
  </si>
  <si>
    <t>City/district/coordinates come from the runtime coordinates file; source row and raw text are preserved for traceability.</t>
  </si>
  <si>
    <t>Source Row</t>
  </si>
  <si>
    <t>Section</t>
  </si>
  <si>
    <t>City</t>
  </si>
  <si>
    <t>District</t>
  </si>
  <si>
    <t>Branch Name</t>
  </si>
  <si>
    <t>Hours</t>
  </si>
  <si>
    <t>Map URL</t>
  </si>
  <si>
    <t>Maps URL</t>
  </si>
  <si>
    <t>Latitude</t>
  </si>
  <si>
    <t>Longitude</t>
  </si>
  <si>
    <t>Contact Phone</t>
  </si>
  <si>
    <t>ID</t>
  </si>
  <si>
    <t>Is Active</t>
  </si>
  <si>
    <t>Source Raw Text</t>
  </si>
  <si>
    <t>فروع منطقة الرياض</t>
  </si>
  <si>
    <t>الرياض</t>
  </si>
  <si>
    <t>الرئيسي - النرجس</t>
  </si>
  <si>
    <t>الفرع الرئيسي - النرجس</t>
  </si>
  <si>
    <t>٢٤ ساعة</t>
  </si>
  <si>
    <t>https://maps.app.goo.gl/7RKTqwjUksjCMvsN6</t>
  </si>
  <si>
    <t>branch::الرياض_الرئيسي_النرجس</t>
  </si>
  <si>
    <t>الفرع الرئيسي - النرجس ٢٤ ساعة</t>
  </si>
  <si>
    <t>قرطبة</t>
  </si>
  <si>
    <t>فرع قرطبة</t>
  </si>
  <si>
    <t>https://maps.app.goo.gl/48SuTJcnHjN27LMcA</t>
  </si>
  <si>
    <t>branch::الرياض_قرطبه</t>
  </si>
  <si>
    <t>فرع قرطبة ٢٤ ساعة</t>
  </si>
  <si>
    <t>الروضة</t>
  </si>
  <si>
    <t>فرع الروضة</t>
  </si>
  <si>
    <t>https://maps.app.goo.gl/FXyn23sBjoCC3boi8</t>
  </si>
  <si>
    <t>branch::الرياض_الروضه</t>
  </si>
  <si>
    <t>فرع الروضة ٢٤ ساعة</t>
  </si>
  <si>
    <t>الربوة</t>
  </si>
  <si>
    <t>فرع الربوة</t>
  </si>
  <si>
    <t>https://maps.app.goo.gl/HorzLnBWrWj2vz9p7</t>
  </si>
  <si>
    <t>branch::الرياض_الربوه</t>
  </si>
  <si>
    <t>فرع الربوة ٢٤ ساعة</t>
  </si>
  <si>
    <t>لبن</t>
  </si>
  <si>
    <t>فرع لبن</t>
  </si>
  <si>
    <t>https://maps.app.goo.gl/BJiPNb2PUho7t7RA8</t>
  </si>
  <si>
    <t>branch::الرياض_لبن</t>
  </si>
  <si>
    <t>فرع لبن ٢٤ ساعة</t>
  </si>
  <si>
    <t>العريجاء</t>
  </si>
  <si>
    <t>فرع العريجاء</t>
  </si>
  <si>
    <t>https://maps.app.goo.gl/odpHmhE3qvpzSLpQ6</t>
  </si>
  <si>
    <t>branch::الرياض_العريجاء</t>
  </si>
  <si>
    <t>فرع العريجاء ٢٤ ساعة</t>
  </si>
  <si>
    <t>العليا</t>
  </si>
  <si>
    <t>فرع العليا</t>
  </si>
  <si>
    <t>https://maps.app.goo.gl/D9s3JQDa5tTQgV279</t>
  </si>
  <si>
    <t>branch::الرياض_العليا</t>
  </si>
  <si>
    <t>فرع العليا ٢٤ ساعة</t>
  </si>
  <si>
    <t>العزيزية</t>
  </si>
  <si>
    <t>فرع العزيزية</t>
  </si>
  <si>
    <t>https://maps.app.goo.gl/YEFuPyUHAdZA9HVH7</t>
  </si>
  <si>
    <t>branch::الرياض_العزيزيه</t>
  </si>
  <si>
    <t>فرع العزيزية ٢٤ ساعة</t>
  </si>
  <si>
    <t>طويق</t>
  </si>
  <si>
    <t>فرع طويق</t>
  </si>
  <si>
    <t>https://maps.app.goo.gl/vstcTaxQppnckyUX7</t>
  </si>
  <si>
    <t>branch::الرياض_طويق</t>
  </si>
  <si>
    <t>فرع طويق ٢٤ ساعة</t>
  </si>
  <si>
    <t>العارض</t>
  </si>
  <si>
    <t>فرع العارض</t>
  </si>
  <si>
    <t>https://maps.app.goo.gl/8hCRu3DBFCffiXqN8</t>
  </si>
  <si>
    <t>branch::الرياض_العارض</t>
  </si>
  <si>
    <t>فرع العارض ٢٤ ساعة</t>
  </si>
  <si>
    <t>النسيم</t>
  </si>
  <si>
    <t>فرع النسيم</t>
  </si>
  <si>
    <t>https://maps.app.goo.gl/n2UTYG5mH2dfx8BcA</t>
  </si>
  <si>
    <t>branch::الرياض_النسيم</t>
  </si>
  <si>
    <t>فرع النسيم ٢٤ ساعة</t>
  </si>
  <si>
    <t>الحمراء</t>
  </si>
  <si>
    <t>Al Cheikh Hasan Ibn Hussein Ibn Ali, Riyadhفرع الحمراء</t>
  </si>
  <si>
    <t>https://maps.app.goo.gl/xF6boZ9RELk8NPKM9</t>
  </si>
  <si>
    <t>branch::الرياض_الحمراء</t>
  </si>
  <si>
    <t>Al Cheikh Hasan Ibn Hussein Ibn Ali, Riyadhفرع الحمراء ٢٤ ساعة</t>
  </si>
  <si>
    <t>التعاون</t>
  </si>
  <si>
    <t>فرع التعاون</t>
  </si>
  <si>
    <t>https://maps.app.goo.gl/NBiLwh6ktW9WA9Mq5</t>
  </si>
  <si>
    <t>branch::الرياض_التعاون</t>
  </si>
  <si>
    <t>فرع التعاون ٢٤ ساعة</t>
  </si>
  <si>
    <t>السعادة</t>
  </si>
  <si>
    <t>فرع السعادة</t>
  </si>
  <si>
    <t>https://maps.app.goo.gl/MCYibuYz3Zytyc7X6</t>
  </si>
  <si>
    <t>branch::الرياض_السعاده</t>
  </si>
  <si>
    <t>الرمال</t>
  </si>
  <si>
    <t>فرع الرمال</t>
  </si>
  <si>
    <t>https://maps.app.goo.gl/RwaHDGJ3YCwdXvFy7</t>
  </si>
  <si>
    <t>branch::الرياض_الرمال</t>
  </si>
  <si>
    <t>المهدية</t>
  </si>
  <si>
    <t>فرع المهدية</t>
  </si>
  <si>
    <t>https://maps.app.goo.gl/GYJW3XvecsVLMGgJ7</t>
  </si>
  <si>
    <t>branch::الرياض_المهديه</t>
  </si>
  <si>
    <t>الشفا</t>
  </si>
  <si>
    <t>فرع الشفا</t>
  </si>
  <si>
    <t>https://maps.app.goo.gl/JDzuwJfHcQ9y2Qzx9</t>
  </si>
  <si>
    <t>branch::الرياض_الشفا</t>
  </si>
  <si>
    <t>البديعة</t>
  </si>
  <si>
    <t>فرع البديعة</t>
  </si>
  <si>
    <t>https://maps.app.goo.gl/9xA5ZB6QUy331bbs8</t>
  </si>
  <si>
    <t>branch::الرياض_البديعه</t>
  </si>
  <si>
    <t>النظيم</t>
  </si>
  <si>
    <t>فرع النظيم</t>
  </si>
  <si>
    <t>https://maps.app.goo.gl/K5K5qLQGZNZvmg9y6</t>
  </si>
  <si>
    <t>branch::الرياض_النظيم</t>
  </si>
  <si>
    <t>الدار البيضاء</t>
  </si>
  <si>
    <t>فرع الدار البيضاء</t>
  </si>
  <si>
    <t>https://maps.app.goo.gl/cNatQTdSQPrpTPCD7</t>
  </si>
  <si>
    <t>branch::الرياض_الدار_البيضاء</t>
  </si>
  <si>
    <t>العقيق</t>
  </si>
  <si>
    <t>فرع العقيق</t>
  </si>
  <si>
    <t>https://maps.app.goo.gl/JqqRrRgnVPndXLSd8</t>
  </si>
  <si>
    <t>branch::الرياض_العقيق</t>
  </si>
  <si>
    <t>الحزم</t>
  </si>
  <si>
    <t>فرع الحزم</t>
  </si>
  <si>
    <t>https://maps.app.goo.gl/pbZcaL3hJxTFMbY88</t>
  </si>
  <si>
    <t>branch::الرياض_الحزم</t>
  </si>
  <si>
    <t>الدرعية</t>
  </si>
  <si>
    <t>فرع الدرعية</t>
  </si>
  <si>
    <t>https://maps.app.goo.gl/VaYd34HbTcBaZUzW9</t>
  </si>
  <si>
    <t>branch::الرياض_الدرعيه</t>
  </si>
  <si>
    <t>فروع جدة</t>
  </si>
  <si>
    <t>جدة</t>
  </si>
  <si>
    <t>المحمدية تم الإفتتاح</t>
  </si>
  <si>
    <t>فرع المحمدية تم الإفتتاح</t>
  </si>
  <si>
    <t>https://maps.app.goo.gl/U7nFZ8h2eghVHTgq7</t>
  </si>
  <si>
    <t>branch::جده_المحمديه_تم_الافتتاح</t>
  </si>
  <si>
    <t>فرع المحمدية تم الإفتتاح ٢٤ ساعة</t>
  </si>
  <si>
    <t>الياقوت تم الإفتتاح</t>
  </si>
  <si>
    <t>فرع الياقوت تم الإفتتاح</t>
  </si>
  <si>
    <t>https://maps.app.goo.gl/mthfUBDXahisNFCd6</t>
  </si>
  <si>
    <t>branch::جده_الياقوت_تم_الافتتاح</t>
  </si>
  <si>
    <t>الحمدانية تم الإفتتاح</t>
  </si>
  <si>
    <t>فرع الحمدانية تم الإفتتاح</t>
  </si>
  <si>
    <t>https://maps.app.goo.gl/Wthdbi8DXys5kCWCA</t>
  </si>
  <si>
    <t>branch::جده_الحمدانيه_تم_الافتتاح</t>
  </si>
  <si>
    <t>السامر تم الإفتتاح</t>
  </si>
  <si>
    <t>فرع السامر تم الإفتتاح</t>
  </si>
  <si>
    <t>https://maps.app.goo.gl/Uw8SeRH36aBx7viw5</t>
  </si>
  <si>
    <t>branch::جده_السامر_تم_الافتتاح</t>
  </si>
  <si>
    <t>المروة تم الإفتتاح</t>
  </si>
  <si>
    <t>فرع المروة تم الإفتتاح</t>
  </si>
  <si>
    <t>https://maps.app.goo.gl/HR45VZLatwMWdSGu9</t>
  </si>
  <si>
    <t>branch::جده_المروه_تم_الافتتاح</t>
  </si>
  <si>
    <t>مكة المكرمة</t>
  </si>
  <si>
    <t>العوالي</t>
  </si>
  <si>
    <t>فرع العوالي - تم الافتتاح</t>
  </si>
  <si>
    <t>https://maps.app.goo.gl/Q8X8rDUYH8t6anXB6</t>
  </si>
  <si>
    <t>branch::مكه_المكرمه_العوالي</t>
  </si>
  <si>
    <t>الشوقية</t>
  </si>
  <si>
    <t>فرع الشوقية - تم الافتتاح</t>
  </si>
  <si>
    <t>https://maps.app.goo.gl/o435WNVwmXoJ9Qhz8</t>
  </si>
  <si>
    <t>branch::مكه_المكرمه_الشوقيه</t>
  </si>
  <si>
    <t>الشرايع -</t>
  </si>
  <si>
    <t>فرع الشرايع - قريبا الافتتاح</t>
  </si>
  <si>
    <t>https://maps.app.goo.gl/CFD1xY9gpY6pDPdk6</t>
  </si>
  <si>
    <t>branch::مكه_المكرمه_الشرايع</t>
  </si>
  <si>
    <t>فرع الطائف</t>
  </si>
  <si>
    <t>الطائف</t>
  </si>
  <si>
    <t>شارع شهار</t>
  </si>
  <si>
    <t>فرع الطائف شارع شهار</t>
  </si>
  <si>
    <t>https://maps.app.goo.gl/DcRhXrxeFcgPwqBK9</t>
  </si>
  <si>
    <t>branch::الطائف_شارع_شهار</t>
  </si>
  <si>
    <t>شارع السحيلي</t>
  </si>
  <si>
    <t>فرع الطائف - شارع السحيلي</t>
  </si>
  <si>
    <t>https://maps.app.goo.gl/XqqSYF8UpnMJJiwY9</t>
  </si>
  <si>
    <t>branch::الطائف_شارع_السحيلي</t>
  </si>
  <si>
    <t>فـروع الـشـرقـيـة</t>
  </si>
  <si>
    <t>سيهات</t>
  </si>
  <si>
    <t>15th Street, Saihat</t>
  </si>
  <si>
    <t>فرع سيهات ـ تم الافتتاح 15th Street, Saihat</t>
  </si>
  <si>
    <t>https://maps.app.goo.gl/1VBYFS7aX9kzFVoi8</t>
  </si>
  <si>
    <t>branch::سيهات_15th_street_saihat</t>
  </si>
  <si>
    <t>فرع سيهات ـ تم الافتتاح
15th Street, Saihat</t>
  </si>
  <si>
    <t xml:space="preserve"> فروع حائل</t>
  </si>
  <si>
    <t>حائل</t>
  </si>
  <si>
    <t>طريق الملك سعود</t>
  </si>
  <si>
    <t>موقع فرع حائل - طريق الملك سعود</t>
  </si>
  <si>
    <t>https://maps.app.goo.gl/DJsJpxCrmWjUXmjm7</t>
  </si>
  <si>
    <t>branch::حائل_طريق_الملك_سعود</t>
  </si>
  <si>
    <t>فروع حائل</t>
  </si>
  <si>
    <t>الثاني - طريق جدة تم الإفتتاح</t>
  </si>
  <si>
    <t>موقع فرع حائل الثاني - طريق جدة تم الإفتتاح</t>
  </si>
  <si>
    <t>https://maps.app.goo.gl/a7Z87YT3zw8BJCcp7</t>
  </si>
  <si>
    <t>branch::حائل_الثاني_طريق_جده_تم_الافتتاح</t>
  </si>
  <si>
    <t xml:space="preserve"> فروع القصيم</t>
  </si>
  <si>
    <t>بريدة</t>
  </si>
  <si>
    <t>فرع بريدة</t>
  </si>
  <si>
    <t>https://maps.app.goo.gl/cq4C8CMqHKHPXpMQ9</t>
  </si>
  <si>
    <t>branch::بريده_بريده</t>
  </si>
  <si>
    <t>فرع بريدة ٢٤ ساعة</t>
  </si>
  <si>
    <t>فروع القصيم</t>
  </si>
  <si>
    <t>عنيزة</t>
  </si>
  <si>
    <t>فرع عنيزة</t>
  </si>
  <si>
    <t>https://maps.app.goo.gl/bjFT5iksXKau4rfF9</t>
  </si>
  <si>
    <t>branch::عنيزه_عنيزه</t>
  </si>
  <si>
    <t>الرس</t>
  </si>
  <si>
    <t>فرع الرس</t>
  </si>
  <si>
    <t>https://maps.app.goo.gl/hkxtS885QgTX4dJo9</t>
  </si>
  <si>
    <t>branch::الرس_الرس</t>
  </si>
  <si>
    <t>البدائع</t>
  </si>
  <si>
    <t>فرع البدائع</t>
  </si>
  <si>
    <t>https://maps.app.goo.gl/gooWgHEZ53kUuA8V8</t>
  </si>
  <si>
    <t>branch::البدائع_البدائع</t>
  </si>
  <si>
    <t>البكيرية</t>
  </si>
  <si>
    <t>فرع البكيرية</t>
  </si>
  <si>
    <t>https://maps.app.goo.gl/hQTyity1SUEZjsYY8</t>
  </si>
  <si>
    <t>branch::البكيريه_البكيريه</t>
  </si>
  <si>
    <t>فروع وادي الدواسر والسليل</t>
  </si>
  <si>
    <t>وادي الدواسر</t>
  </si>
  <si>
    <t>مختبرات وريد الطبية فرع وادي الدواسر</t>
  </si>
  <si>
    <t>https://maps.app.goo.gl/Xqs4TaBZFQJ5M6eTA</t>
  </si>
  <si>
    <t>branch::وادي_الدواسر_وادي_الدواسر</t>
  </si>
  <si>
    <t>السليل</t>
  </si>
  <si>
    <t>فرع السليل</t>
  </si>
  <si>
    <t>https://maps.app.goo.gl/oEA35McujBKwLz3L8</t>
  </si>
  <si>
    <t>branch::وادي_الدواسر_السليل</t>
  </si>
  <si>
    <t>فروع شقراء - الزلفي - المجمعة</t>
  </si>
  <si>
    <t>شقراء</t>
  </si>
  <si>
    <t>شارع القارة</t>
  </si>
  <si>
    <t>فرع شقراء - شارع القارة</t>
  </si>
  <si>
    <t>https://maps.app.goo.gl/zFA3AcbJTtvFwM2n8</t>
  </si>
  <si>
    <t>branch::شقراء_شارع_القاره</t>
  </si>
  <si>
    <t>فرع شقراء - طريق الملك سعود</t>
  </si>
  <si>
    <t>https://maps.app.goo.gl/TU5z6t8GwCvFqkzX8</t>
  </si>
  <si>
    <t>branch::شقراء_طريق_الملك_سعود</t>
  </si>
  <si>
    <t>المجمعة</t>
  </si>
  <si>
    <t>فرع المجمعة</t>
  </si>
  <si>
    <t>https://maps.app.goo.gl/KEY5Hk5FoWi2V4n18</t>
  </si>
  <si>
    <t>branch::المجمعه_المجمعه</t>
  </si>
  <si>
    <t>الزلفي</t>
  </si>
  <si>
    <t>طريق الملك عبدالله</t>
  </si>
  <si>
    <t>King Abdullah Rd, Az Zilfi فرع الزلفي - طريق الملك عبدالله</t>
  </si>
  <si>
    <t>https://maps.app.goo.gl/Qycau3wCAVWRpnLb6</t>
  </si>
  <si>
    <t>branch::الزلفي_طريق_الملك_عبدالله</t>
  </si>
  <si>
    <t>شارع موسى بن نصير</t>
  </si>
  <si>
    <t>فرع الزلفي - شارع موسى بن نصير</t>
  </si>
  <si>
    <t>https://share.google/wV25WoYS4wMFFr020</t>
  </si>
  <si>
    <t>branch::الزلفي_شارع_موسي_بن_نصير</t>
  </si>
  <si>
    <t xml:space="preserve"> فرع حفر الباطن</t>
  </si>
  <si>
    <t>حفر الباطن</t>
  </si>
  <si>
    <t>فرع حفر الباطن</t>
  </si>
  <si>
    <t>https://maps.app.goo.gl/QKNwn8YVHMwmg5UC8</t>
  </si>
  <si>
    <t>branch::حفر_الباطن_حفر_الباطن</t>
  </si>
  <si>
    <t>فرع حفر  الباطن</t>
  </si>
  <si>
    <t xml:space="preserve"> فروع الدوادمي - ساجر - عفيف</t>
  </si>
  <si>
    <t>الدوادمي</t>
  </si>
  <si>
    <t>فرع الدوادمي</t>
  </si>
  <si>
    <t>https://maps.app.goo.gl/dUFRrz8f2eeXCiNn6</t>
  </si>
  <si>
    <t>branch::الدوادمي_الدوادمي</t>
  </si>
  <si>
    <t>عفيف</t>
  </si>
  <si>
    <t>فرع عفيف</t>
  </si>
  <si>
    <t>https://maps.app.goo.gl/nzvyZHUNDoNaHets9</t>
  </si>
  <si>
    <t>branch::عفيف_عفيف</t>
  </si>
  <si>
    <t>ساجر</t>
  </si>
  <si>
    <t>فرع ساجر</t>
  </si>
  <si>
    <t>https://maps.app.goo.gl/6D48sqHtkLi4mp1h9</t>
  </si>
  <si>
    <t>branch::ساجر_ساجر</t>
  </si>
  <si>
    <t>فروع الخرج - الدلم - حوطة بني تميم</t>
  </si>
  <si>
    <t>الخرج</t>
  </si>
  <si>
    <t>الزاهر</t>
  </si>
  <si>
    <t>فرع الخرج ( الزاهر )</t>
  </si>
  <si>
    <t>https://maps.app.goo.gl/k8JNhKATqsngmRe78</t>
  </si>
  <si>
    <t>branch::الخرج_الزاهر</t>
  </si>
  <si>
    <t>الدلم</t>
  </si>
  <si>
    <t>فرع الدلم</t>
  </si>
  <si>
    <t>https://maps.app.goo.gl/AEHcEgix4ELgXT1z6</t>
  </si>
  <si>
    <t>branch::الدلم_الدلم</t>
  </si>
  <si>
    <t>حوطة بني تميم</t>
  </si>
  <si>
    <t>فرع حوطة بني تميم</t>
  </si>
  <si>
    <t>https://maps.app.goo.gl/MCQEpB8CgUMaH31m8</t>
  </si>
  <si>
    <t>branch::حوطه_بني_تميم_حوطه_بني_تميم</t>
  </si>
  <si>
    <t>فرع الخرج</t>
  </si>
  <si>
    <t>https://maps.app.goo.gl/Q93ty5DM8EhVQWoh7</t>
  </si>
  <si>
    <t>branch::الخرج_الخرج</t>
  </si>
  <si>
    <t>الأفلاج</t>
  </si>
  <si>
    <t>فرع الافلاج</t>
  </si>
  <si>
    <t>https://maps.app.goo.gl/YJPri1Ur1izBdWMw7</t>
  </si>
  <si>
    <t>branch::الافلاج_الافلاج</t>
  </si>
  <si>
    <t>فروع المزاحمية - القويعية</t>
  </si>
  <si>
    <t>القويعية</t>
  </si>
  <si>
    <t>فرع القويعية</t>
  </si>
  <si>
    <t>https://maps.app.goo.gl/yWpx66ajkeM4St6r8</t>
  </si>
  <si>
    <t>branch::القويعيه_القويعيه</t>
  </si>
  <si>
    <t>المزاحمية</t>
  </si>
  <si>
    <t>فرع المزاحمية</t>
  </si>
  <si>
    <t>https://maps.app.goo.gl/KkEw24dLoDJWejew5</t>
  </si>
  <si>
    <t>branch::المزاحميه_المزاحميه</t>
  </si>
  <si>
    <t xml:space="preserve"> فروع رماح - ثادق</t>
  </si>
  <si>
    <t>ثادق</t>
  </si>
  <si>
    <t>فرع ثادق</t>
  </si>
  <si>
    <t>https://maps.app.goo.gl/jUTwzGVzr5BoDPoPA</t>
  </si>
  <si>
    <t>branch::ثادق_ثادق</t>
  </si>
  <si>
    <t>فروع رماح - ثادق</t>
  </si>
  <si>
    <t>رماح</t>
  </si>
  <si>
    <t>فرع رماح</t>
  </si>
  <si>
    <t>https://maps.app.goo.gl/ExRx5qL1a7KvajjD6</t>
  </si>
  <si>
    <t>branch::رماح_رماح</t>
  </si>
  <si>
    <t>Branch Count</t>
  </si>
  <si>
    <t>Total Branches</t>
  </si>
  <si>
    <t>Rows in Structured_Branches</t>
  </si>
  <si>
    <t>Rows with missing City</t>
  </si>
  <si>
    <t>Rows with missing District</t>
  </si>
  <si>
    <t>Rows with missing Hours</t>
  </si>
  <si>
    <t>Rows with missing Latitude</t>
  </si>
  <si>
    <t>Rows with missing Longitude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</si>
</sst>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0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4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right" vertical="top" wrapText="1"/>
    </xf>
    <xf numFmtId="0" fontId="4" fillId="3" borderId="1" xfId="6" applyFill="1" applyBorder="1" applyAlignment="1">
      <alignment horizontal="right" vertical="top" wrapText="1"/>
    </xf>
    <xf numFmtId="178" fontId="0" fillId="3" borderId="1" xfId="0" applyNumberForma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178" fontId="0" fillId="0" borderId="1" xfId="0" applyNumberFormat="1" applyBorder="1" applyAlignment="1">
      <alignment horizontal="center" vertical="top" wrapText="1"/>
    </xf>
    <xf numFmtId="0" fontId="5" fillId="0" borderId="0" xfId="0" applyFont="1" applyAlignment="1">
      <alignment horizontal="right" vertical="top" wrapText="1"/>
    </xf>
    <xf numFmtId="0" fontId="2" fillId="4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7RKTqwjUksjCMvsN6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4.4" outlineLevelCol="1"/>
  <cols>
    <col min="1" max="1" width="28" customWidth="1"/>
    <col min="2" max="2" width="90" customWidth="1"/>
  </cols>
  <sheetData>
    <row r="1" ht="36" spans="1:2">
      <c r="A1" s="15" t="s">
        <v>0</v>
      </c>
    </row>
    <row r="2" spans="1:2">
      <c r="A2" s="16" t="s">
        <v>1</v>
      </c>
      <c r="B2" s="17" t="s">
        <v>2</v>
      </c>
    </row>
    <row r="3" ht="28.8" spans="1:2">
      <c r="A3" s="16" t="s">
        <v>3</v>
      </c>
      <c r="B3" s="17" t="s">
        <v>4</v>
      </c>
    </row>
    <row r="4" spans="1:2">
      <c r="A4" s="16" t="s">
        <v>5</v>
      </c>
      <c r="B4" s="17" t="s">
        <v>6</v>
      </c>
    </row>
    <row r="5" spans="1:2">
      <c r="A5" s="16" t="s">
        <v>7</v>
      </c>
      <c r="B5" s="17">
        <v>61</v>
      </c>
    </row>
    <row r="6" spans="1:2">
      <c r="A6" s="16" t="s">
        <v>8</v>
      </c>
      <c r="B6" s="17">
        <v>61</v>
      </c>
    </row>
    <row r="7" spans="1:2">
      <c r="A7" s="16" t="s">
        <v>9</v>
      </c>
      <c r="B7" s="17">
        <v>0</v>
      </c>
    </row>
    <row r="8" spans="1:2">
      <c r="A8" s="16" t="s">
        <v>10</v>
      </c>
      <c r="B8" s="17" t="s">
        <v>11</v>
      </c>
    </row>
    <row r="9" ht="28.8" spans="1:2">
      <c r="A9" s="16" t="s">
        <v>10</v>
      </c>
      <c r="B9" s="17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2"/>
  <sheetViews>
    <sheetView tabSelected="1" topLeftCell="A19" workbookViewId="0">
      <selection activeCell="G62" sqref="G62"/>
    </sheetView>
  </sheetViews>
  <sheetFormatPr defaultColWidth="9" defaultRowHeight="14.4"/>
  <cols>
    <col min="1" max="1" width="12" customWidth="1"/>
    <col min="2" max="2" width="24" customWidth="1"/>
    <col min="3" max="3" width="18" customWidth="1"/>
    <col min="4" max="4" width="20" customWidth="1"/>
    <col min="5" max="5" width="24" customWidth="1"/>
    <col min="6" max="6" width="14" customWidth="1"/>
    <col min="7" max="8" width="40" customWidth="1"/>
    <col min="9" max="10" width="12" customWidth="1"/>
    <col min="11" max="11" width="16" customWidth="1"/>
    <col min="12" max="12" width="28" customWidth="1"/>
    <col min="13" max="13" width="10" customWidth="1"/>
    <col min="14" max="14" width="38" customWidth="1"/>
  </cols>
  <sheetData>
    <row r="1" ht="24" customHeight="1" spans="1:14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</row>
    <row r="2" spans="1:14">
      <c r="A2" s="6">
        <v>3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8" t="s">
        <v>32</v>
      </c>
      <c r="H2" s="9" t="s">
        <v>32</v>
      </c>
      <c r="I2" s="10">
        <v>24.8492837529659</v>
      </c>
      <c r="J2" s="10">
        <v>46.6649001396725</v>
      </c>
      <c r="K2" s="7">
        <v>920003694</v>
      </c>
      <c r="L2" s="7" t="s">
        <v>33</v>
      </c>
      <c r="M2" s="6" t="b">
        <v>1</v>
      </c>
      <c r="N2" s="7" t="s">
        <v>34</v>
      </c>
    </row>
    <row r="3" spans="1:14">
      <c r="A3" s="11">
        <v>4</v>
      </c>
      <c r="B3" s="12" t="s">
        <v>27</v>
      </c>
      <c r="C3" s="12" t="s">
        <v>28</v>
      </c>
      <c r="D3" s="12" t="s">
        <v>35</v>
      </c>
      <c r="E3" s="12" t="s">
        <v>36</v>
      </c>
      <c r="F3" s="12" t="s">
        <v>31</v>
      </c>
      <c r="G3" s="13" t="s">
        <v>37</v>
      </c>
      <c r="H3" s="13" t="s">
        <v>37</v>
      </c>
      <c r="I3" s="14">
        <v>24.807678653617</v>
      </c>
      <c r="J3" s="14">
        <v>46.7563656269836</v>
      </c>
      <c r="K3" s="12">
        <v>920003694</v>
      </c>
      <c r="L3" s="12" t="s">
        <v>38</v>
      </c>
      <c r="M3" s="11" t="b">
        <v>1</v>
      </c>
      <c r="N3" s="12" t="s">
        <v>39</v>
      </c>
    </row>
    <row r="4" spans="1:14">
      <c r="A4" s="6">
        <v>5</v>
      </c>
      <c r="B4" s="7" t="s">
        <v>27</v>
      </c>
      <c r="C4" s="7" t="s">
        <v>28</v>
      </c>
      <c r="D4" s="7" t="s">
        <v>40</v>
      </c>
      <c r="E4" s="7" t="s">
        <v>41</v>
      </c>
      <c r="F4" s="7" t="s">
        <v>31</v>
      </c>
      <c r="G4" s="8" t="s">
        <v>42</v>
      </c>
      <c r="H4" s="8" t="s">
        <v>42</v>
      </c>
      <c r="I4" s="10">
        <v>24.7375624872786</v>
      </c>
      <c r="J4" s="10">
        <v>46.7813184288361</v>
      </c>
      <c r="K4" s="7">
        <v>920003694</v>
      </c>
      <c r="L4" s="7" t="s">
        <v>43</v>
      </c>
      <c r="M4" s="6" t="b">
        <v>1</v>
      </c>
      <c r="N4" s="7" t="s">
        <v>44</v>
      </c>
    </row>
    <row r="5" spans="1:14">
      <c r="A5" s="11">
        <v>6</v>
      </c>
      <c r="B5" s="12" t="s">
        <v>27</v>
      </c>
      <c r="C5" s="12" t="s">
        <v>28</v>
      </c>
      <c r="D5" s="12" t="s">
        <v>45</v>
      </c>
      <c r="E5" s="12" t="s">
        <v>46</v>
      </c>
      <c r="F5" s="12" t="s">
        <v>31</v>
      </c>
      <c r="G5" s="13" t="s">
        <v>47</v>
      </c>
      <c r="H5" s="13" t="s">
        <v>47</v>
      </c>
      <c r="I5" s="14">
        <v>24.6981791372815</v>
      </c>
      <c r="J5" s="14">
        <v>46.7714686</v>
      </c>
      <c r="K5" s="12">
        <v>920003694</v>
      </c>
      <c r="L5" s="12" t="s">
        <v>48</v>
      </c>
      <c r="M5" s="11" t="b">
        <v>1</v>
      </c>
      <c r="N5" s="12" t="s">
        <v>49</v>
      </c>
    </row>
    <row r="6" spans="1:14">
      <c r="A6" s="6">
        <v>7</v>
      </c>
      <c r="B6" s="7" t="s">
        <v>27</v>
      </c>
      <c r="C6" s="7" t="s">
        <v>28</v>
      </c>
      <c r="D6" s="7" t="s">
        <v>50</v>
      </c>
      <c r="E6" s="7" t="s">
        <v>51</v>
      </c>
      <c r="F6" s="7" t="s">
        <v>31</v>
      </c>
      <c r="G6" s="8" t="s">
        <v>52</v>
      </c>
      <c r="H6" s="8" t="s">
        <v>52</v>
      </c>
      <c r="I6" s="10">
        <v>24.6321473611202</v>
      </c>
      <c r="J6" s="10">
        <v>46.5650275423279</v>
      </c>
      <c r="K6" s="7">
        <v>920003694</v>
      </c>
      <c r="L6" s="7" t="s">
        <v>53</v>
      </c>
      <c r="M6" s="6" t="b">
        <v>1</v>
      </c>
      <c r="N6" s="7" t="s">
        <v>54</v>
      </c>
    </row>
    <row r="7" spans="1:14">
      <c r="A7" s="11">
        <v>8</v>
      </c>
      <c r="B7" s="12" t="s">
        <v>27</v>
      </c>
      <c r="C7" s="12" t="s">
        <v>28</v>
      </c>
      <c r="D7" s="12" t="s">
        <v>55</v>
      </c>
      <c r="E7" s="12" t="s">
        <v>56</v>
      </c>
      <c r="F7" s="12" t="s">
        <v>31</v>
      </c>
      <c r="G7" s="13" t="s">
        <v>57</v>
      </c>
      <c r="H7" s="13" t="s">
        <v>57</v>
      </c>
      <c r="I7" s="14">
        <v>24.6288031833553</v>
      </c>
      <c r="J7" s="14">
        <v>46.6183395235186</v>
      </c>
      <c r="K7" s="12">
        <v>920003694</v>
      </c>
      <c r="L7" s="12" t="s">
        <v>58</v>
      </c>
      <c r="M7" s="11" t="b">
        <v>1</v>
      </c>
      <c r="N7" s="12" t="s">
        <v>59</v>
      </c>
    </row>
    <row r="8" spans="1:14">
      <c r="A8" s="6">
        <v>9</v>
      </c>
      <c r="B8" s="7" t="s">
        <v>27</v>
      </c>
      <c r="C8" s="7" t="s">
        <v>28</v>
      </c>
      <c r="D8" s="7" t="s">
        <v>60</v>
      </c>
      <c r="E8" s="7" t="s">
        <v>61</v>
      </c>
      <c r="F8" s="7" t="s">
        <v>31</v>
      </c>
      <c r="G8" s="8" t="s">
        <v>62</v>
      </c>
      <c r="H8" s="8" t="s">
        <v>62</v>
      </c>
      <c r="I8" s="10">
        <v>24.6937819500596</v>
      </c>
      <c r="J8" s="10">
        <v>46.7017748288361</v>
      </c>
      <c r="K8" s="7">
        <v>920003694</v>
      </c>
      <c r="L8" s="7" t="s">
        <v>63</v>
      </c>
      <c r="M8" s="6" t="b">
        <v>1</v>
      </c>
      <c r="N8" s="7" t="s">
        <v>64</v>
      </c>
    </row>
    <row r="9" spans="1:14">
      <c r="A9" s="11">
        <v>10</v>
      </c>
      <c r="B9" s="12" t="s">
        <v>27</v>
      </c>
      <c r="C9" s="12" t="s">
        <v>28</v>
      </c>
      <c r="D9" s="12" t="s">
        <v>65</v>
      </c>
      <c r="E9" s="12" t="s">
        <v>66</v>
      </c>
      <c r="F9" s="12" t="s">
        <v>31</v>
      </c>
      <c r="G9" s="13" t="s">
        <v>67</v>
      </c>
      <c r="H9" s="13" t="s">
        <v>67</v>
      </c>
      <c r="I9" s="14">
        <v>24.574830512193</v>
      </c>
      <c r="J9" s="14">
        <v>46.7684056693115</v>
      </c>
      <c r="K9" s="12">
        <v>920003694</v>
      </c>
      <c r="L9" s="12" t="s">
        <v>68</v>
      </c>
      <c r="M9" s="11" t="b">
        <v>1</v>
      </c>
      <c r="N9" s="12" t="s">
        <v>69</v>
      </c>
    </row>
    <row r="10" spans="1:14">
      <c r="A10" s="6">
        <v>11</v>
      </c>
      <c r="B10" s="7" t="s">
        <v>27</v>
      </c>
      <c r="C10" s="7" t="s">
        <v>28</v>
      </c>
      <c r="D10" s="7" t="s">
        <v>70</v>
      </c>
      <c r="E10" s="7" t="s">
        <v>71</v>
      </c>
      <c r="F10" s="7" t="s">
        <v>31</v>
      </c>
      <c r="G10" s="8" t="s">
        <v>72</v>
      </c>
      <c r="H10" s="8" t="s">
        <v>72</v>
      </c>
      <c r="I10" s="10">
        <v>24.584591168806</v>
      </c>
      <c r="J10" s="10">
        <v>46.5831188846558</v>
      </c>
      <c r="K10" s="7">
        <v>920003694</v>
      </c>
      <c r="L10" s="7" t="s">
        <v>73</v>
      </c>
      <c r="M10" s="6" t="b">
        <v>1</v>
      </c>
      <c r="N10" s="7" t="s">
        <v>74</v>
      </c>
    </row>
    <row r="11" spans="1:14">
      <c r="A11" s="11">
        <v>12</v>
      </c>
      <c r="B11" s="12" t="s">
        <v>27</v>
      </c>
      <c r="C11" s="12" t="s">
        <v>28</v>
      </c>
      <c r="D11" s="12" t="s">
        <v>75</v>
      </c>
      <c r="E11" s="12" t="s">
        <v>76</v>
      </c>
      <c r="F11" s="12" t="s">
        <v>31</v>
      </c>
      <c r="G11" s="13" t="s">
        <v>77</v>
      </c>
      <c r="H11" s="13" t="s">
        <v>77</v>
      </c>
      <c r="I11" s="14">
        <v>24.8740375686024</v>
      </c>
      <c r="J11" s="14">
        <v>46.6164101859834</v>
      </c>
      <c r="K11" s="12">
        <v>920003694</v>
      </c>
      <c r="L11" s="12" t="s">
        <v>78</v>
      </c>
      <c r="M11" s="11" t="b">
        <v>1</v>
      </c>
      <c r="N11" s="12" t="s">
        <v>79</v>
      </c>
    </row>
    <row r="12" spans="1:14">
      <c r="A12" s="6">
        <v>13</v>
      </c>
      <c r="B12" s="7" t="s">
        <v>27</v>
      </c>
      <c r="C12" s="7" t="s">
        <v>28</v>
      </c>
      <c r="D12" s="7" t="s">
        <v>80</v>
      </c>
      <c r="E12" s="7" t="s">
        <v>81</v>
      </c>
      <c r="F12" s="7" t="s">
        <v>31</v>
      </c>
      <c r="G12" s="8" t="s">
        <v>82</v>
      </c>
      <c r="H12" s="8" t="s">
        <v>82</v>
      </c>
      <c r="I12" s="10">
        <v>24.7475343315787</v>
      </c>
      <c r="J12" s="10">
        <v>46.8238119711639</v>
      </c>
      <c r="K12" s="7">
        <v>920003694</v>
      </c>
      <c r="L12" s="7" t="s">
        <v>83</v>
      </c>
      <c r="M12" s="6" t="b">
        <v>1</v>
      </c>
      <c r="N12" s="7" t="s">
        <v>84</v>
      </c>
    </row>
    <row r="13" ht="28.8" spans="1:14">
      <c r="A13" s="11">
        <v>14</v>
      </c>
      <c r="B13" s="12" t="s">
        <v>27</v>
      </c>
      <c r="C13" s="12" t="s">
        <v>28</v>
      </c>
      <c r="D13" s="12" t="s">
        <v>85</v>
      </c>
      <c r="E13" s="12" t="s">
        <v>86</v>
      </c>
      <c r="F13" s="12" t="s">
        <v>31</v>
      </c>
      <c r="G13" s="13" t="s">
        <v>87</v>
      </c>
      <c r="H13" s="13" t="s">
        <v>87</v>
      </c>
      <c r="I13" s="14">
        <v>24.7821564609696</v>
      </c>
      <c r="J13" s="14">
        <v>46.7718152558197</v>
      </c>
      <c r="K13" s="12">
        <v>920003694</v>
      </c>
      <c r="L13" s="12" t="s">
        <v>88</v>
      </c>
      <c r="M13" s="11" t="b">
        <v>1</v>
      </c>
      <c r="N13" s="12" t="s">
        <v>89</v>
      </c>
    </row>
    <row r="14" ht="28.8" spans="1:14">
      <c r="A14" s="6">
        <v>15</v>
      </c>
      <c r="B14" s="7" t="s">
        <v>27</v>
      </c>
      <c r="C14" s="7" t="s">
        <v>28</v>
      </c>
      <c r="D14" s="7" t="s">
        <v>90</v>
      </c>
      <c r="E14" s="7" t="s">
        <v>91</v>
      </c>
      <c r="F14" s="7" t="s">
        <v>31</v>
      </c>
      <c r="G14" s="8" t="s">
        <v>92</v>
      </c>
      <c r="H14" s="8" t="s">
        <v>92</v>
      </c>
      <c r="I14" s="10">
        <v>24.7653204535223</v>
      </c>
      <c r="J14" s="10">
        <v>46.6932303914775</v>
      </c>
      <c r="K14" s="7">
        <v>920003694</v>
      </c>
      <c r="L14" s="7" t="s">
        <v>93</v>
      </c>
      <c r="M14" s="6" t="b">
        <v>1</v>
      </c>
      <c r="N14" s="7" t="s">
        <v>94</v>
      </c>
    </row>
    <row r="15" spans="1:14">
      <c r="A15" s="11">
        <v>16</v>
      </c>
      <c r="B15" s="12" t="s">
        <v>27</v>
      </c>
      <c r="C15" s="12" t="s">
        <v>28</v>
      </c>
      <c r="D15" s="12" t="s">
        <v>95</v>
      </c>
      <c r="E15" s="12" t="s">
        <v>96</v>
      </c>
      <c r="F15" s="12"/>
      <c r="G15" s="13" t="s">
        <v>97</v>
      </c>
      <c r="H15" s="13" t="s">
        <v>97</v>
      </c>
      <c r="I15" s="14">
        <v>24.6977206899813</v>
      </c>
      <c r="J15" s="14">
        <v>46.8489071106656</v>
      </c>
      <c r="K15" s="12">
        <v>920003694</v>
      </c>
      <c r="L15" s="12" t="s">
        <v>98</v>
      </c>
      <c r="M15" s="11" t="b">
        <v>1</v>
      </c>
      <c r="N15" s="12" t="s">
        <v>96</v>
      </c>
    </row>
    <row r="16" spans="1:14">
      <c r="A16" s="6">
        <v>17</v>
      </c>
      <c r="B16" s="7" t="s">
        <v>27</v>
      </c>
      <c r="C16" s="7" t="s">
        <v>28</v>
      </c>
      <c r="D16" s="7" t="s">
        <v>99</v>
      </c>
      <c r="E16" s="7" t="s">
        <v>100</v>
      </c>
      <c r="F16" s="7"/>
      <c r="G16" s="8" t="s">
        <v>101</v>
      </c>
      <c r="H16" s="8" t="s">
        <v>101</v>
      </c>
      <c r="I16" s="10">
        <v>24.8611117265604</v>
      </c>
      <c r="J16" s="10">
        <v>46.8427213558197</v>
      </c>
      <c r="K16" s="7">
        <v>920003694</v>
      </c>
      <c r="L16" s="7" t="s">
        <v>102</v>
      </c>
      <c r="M16" s="6" t="b">
        <v>1</v>
      </c>
      <c r="N16" s="7" t="s">
        <v>100</v>
      </c>
    </row>
    <row r="17" spans="1:14">
      <c r="A17" s="11">
        <v>18</v>
      </c>
      <c r="B17" s="12" t="s">
        <v>27</v>
      </c>
      <c r="C17" s="12" t="s">
        <v>28</v>
      </c>
      <c r="D17" s="12" t="s">
        <v>103</v>
      </c>
      <c r="E17" s="12" t="s">
        <v>104</v>
      </c>
      <c r="F17" s="12"/>
      <c r="G17" s="13" t="s">
        <v>105</v>
      </c>
      <c r="H17" s="13" t="s">
        <v>105</v>
      </c>
      <c r="I17" s="14">
        <v>24.6607355585166</v>
      </c>
      <c r="J17" s="14">
        <v>46.5196694730164</v>
      </c>
      <c r="K17" s="12">
        <v>920003694</v>
      </c>
      <c r="L17" s="12" t="s">
        <v>106</v>
      </c>
      <c r="M17" s="11" t="b">
        <v>1</v>
      </c>
      <c r="N17" s="12" t="s">
        <v>104</v>
      </c>
    </row>
    <row r="18" spans="1:14">
      <c r="A18" s="6">
        <v>19</v>
      </c>
      <c r="B18" s="7" t="s">
        <v>27</v>
      </c>
      <c r="C18" s="7" t="s">
        <v>28</v>
      </c>
      <c r="D18" s="7" t="s">
        <v>107</v>
      </c>
      <c r="E18" s="7" t="s">
        <v>108</v>
      </c>
      <c r="F18" s="7"/>
      <c r="G18" s="8" t="s">
        <v>109</v>
      </c>
      <c r="H18" s="8" t="s">
        <v>109</v>
      </c>
      <c r="I18" s="10">
        <v>24.5374054382599</v>
      </c>
      <c r="J18" s="10">
        <v>46.6908278</v>
      </c>
      <c r="K18" s="7">
        <v>920003694</v>
      </c>
      <c r="L18" s="7" t="s">
        <v>110</v>
      </c>
      <c r="M18" s="6" t="b">
        <v>1</v>
      </c>
      <c r="N18" s="7" t="s">
        <v>108</v>
      </c>
    </row>
    <row r="19" spans="1:14">
      <c r="A19" s="11">
        <v>20</v>
      </c>
      <c r="B19" s="12" t="s">
        <v>27</v>
      </c>
      <c r="C19" s="12" t="s">
        <v>28</v>
      </c>
      <c r="D19" s="12" t="s">
        <v>111</v>
      </c>
      <c r="E19" s="12" t="s">
        <v>112</v>
      </c>
      <c r="F19" s="12"/>
      <c r="G19" s="13" t="s">
        <v>113</v>
      </c>
      <c r="H19" s="13" t="s">
        <v>113</v>
      </c>
      <c r="I19" s="14">
        <v>24.5732600284445</v>
      </c>
      <c r="J19" s="14">
        <v>46.6638681558197</v>
      </c>
      <c r="K19" s="12">
        <v>920003694</v>
      </c>
      <c r="L19" s="12" t="s">
        <v>114</v>
      </c>
      <c r="M19" s="11" t="b">
        <v>1</v>
      </c>
      <c r="N19" s="12" t="s">
        <v>112</v>
      </c>
    </row>
    <row r="20" spans="1:14">
      <c r="A20" s="6">
        <v>21</v>
      </c>
      <c r="B20" s="7" t="s">
        <v>27</v>
      </c>
      <c r="C20" s="7" t="s">
        <v>28</v>
      </c>
      <c r="D20" s="7" t="s">
        <v>115</v>
      </c>
      <c r="E20" s="7" t="s">
        <v>116</v>
      </c>
      <c r="F20" s="7"/>
      <c r="G20" s="8" t="s">
        <v>117</v>
      </c>
      <c r="H20" s="8" t="s">
        <v>117</v>
      </c>
      <c r="I20" s="10">
        <v>24.8057460621618</v>
      </c>
      <c r="J20" s="10">
        <v>46.8909465981476</v>
      </c>
      <c r="K20" s="7">
        <v>920003694</v>
      </c>
      <c r="L20" s="7" t="s">
        <v>118</v>
      </c>
      <c r="M20" s="6" t="b">
        <v>1</v>
      </c>
      <c r="N20" s="7" t="s">
        <v>116</v>
      </c>
    </row>
    <row r="21" spans="1:14">
      <c r="A21" s="11">
        <v>22</v>
      </c>
      <c r="B21" s="12" t="s">
        <v>27</v>
      </c>
      <c r="C21" s="12" t="s">
        <v>28</v>
      </c>
      <c r="D21" s="12" t="s">
        <v>119</v>
      </c>
      <c r="E21" s="12" t="s">
        <v>120</v>
      </c>
      <c r="F21" s="12"/>
      <c r="G21" s="13" t="s">
        <v>121</v>
      </c>
      <c r="H21" s="13" t="s">
        <v>121</v>
      </c>
      <c r="I21" s="14">
        <v>24.5579549103511</v>
      </c>
      <c r="J21" s="14">
        <v>46.7939844711639</v>
      </c>
      <c r="K21" s="12">
        <v>920003694</v>
      </c>
      <c r="L21" s="12" t="s">
        <v>122</v>
      </c>
      <c r="M21" s="11" t="b">
        <v>1</v>
      </c>
      <c r="N21" s="12" t="s">
        <v>120</v>
      </c>
    </row>
    <row r="22" spans="1:14">
      <c r="A22" s="6">
        <v>23</v>
      </c>
      <c r="B22" s="7" t="s">
        <v>27</v>
      </c>
      <c r="C22" s="7" t="s">
        <v>28</v>
      </c>
      <c r="D22" s="7" t="s">
        <v>123</v>
      </c>
      <c r="E22" s="7" t="s">
        <v>124</v>
      </c>
      <c r="F22" s="7"/>
      <c r="G22" s="8" t="s">
        <v>125</v>
      </c>
      <c r="H22" s="8" t="s">
        <v>125</v>
      </c>
      <c r="I22" s="10">
        <v>24.7846874304809</v>
      </c>
      <c r="J22" s="10">
        <v>46.6267495268698</v>
      </c>
      <c r="K22" s="7">
        <v>920003694</v>
      </c>
      <c r="L22" s="7" t="s">
        <v>126</v>
      </c>
      <c r="M22" s="6" t="b">
        <v>1</v>
      </c>
      <c r="N22" s="7" t="s">
        <v>124</v>
      </c>
    </row>
    <row r="23" spans="1:14">
      <c r="A23" s="11">
        <v>24</v>
      </c>
      <c r="B23" s="12" t="s">
        <v>27</v>
      </c>
      <c r="C23" s="12" t="s">
        <v>28</v>
      </c>
      <c r="D23" s="12" t="s">
        <v>127</v>
      </c>
      <c r="E23" s="12" t="s">
        <v>128</v>
      </c>
      <c r="F23" s="12"/>
      <c r="G23" s="13" t="s">
        <v>129</v>
      </c>
      <c r="H23" s="13" t="s">
        <v>129</v>
      </c>
      <c r="I23" s="14">
        <v>24.5480161002318</v>
      </c>
      <c r="J23" s="14">
        <v>46.6486583116394</v>
      </c>
      <c r="K23" s="12">
        <v>920003694</v>
      </c>
      <c r="L23" s="12" t="s">
        <v>130</v>
      </c>
      <c r="M23" s="11" t="b">
        <v>1</v>
      </c>
      <c r="N23" s="12" t="s">
        <v>128</v>
      </c>
    </row>
    <row r="24" spans="1:14">
      <c r="A24" s="6">
        <v>25</v>
      </c>
      <c r="B24" s="7" t="s">
        <v>27</v>
      </c>
      <c r="C24" s="7" t="s">
        <v>28</v>
      </c>
      <c r="D24" s="7" t="s">
        <v>131</v>
      </c>
      <c r="E24" s="7" t="s">
        <v>132</v>
      </c>
      <c r="F24" s="7"/>
      <c r="G24" s="8" t="s">
        <v>133</v>
      </c>
      <c r="H24" s="8" t="s">
        <v>133</v>
      </c>
      <c r="I24" s="10">
        <v>24.7473281884509</v>
      </c>
      <c r="J24" s="10">
        <v>46.5786108981476</v>
      </c>
      <c r="K24" s="7">
        <v>920003694</v>
      </c>
      <c r="L24" s="7" t="s">
        <v>134</v>
      </c>
      <c r="M24" s="6" t="b">
        <v>1</v>
      </c>
      <c r="N24" s="7" t="s">
        <v>132</v>
      </c>
    </row>
    <row r="25" spans="1:14">
      <c r="A25" s="11">
        <v>30</v>
      </c>
      <c r="B25" s="12" t="s">
        <v>135</v>
      </c>
      <c r="C25" s="12" t="s">
        <v>136</v>
      </c>
      <c r="D25" s="12" t="s">
        <v>137</v>
      </c>
      <c r="E25" s="12" t="s">
        <v>138</v>
      </c>
      <c r="F25" s="12" t="s">
        <v>31</v>
      </c>
      <c r="G25" s="13" t="s">
        <v>139</v>
      </c>
      <c r="H25" s="13" t="s">
        <v>139</v>
      </c>
      <c r="I25" s="14">
        <v>22.6368277241871</v>
      </c>
      <c r="J25" s="14">
        <v>39.0790557762978</v>
      </c>
      <c r="K25" s="12">
        <v>920003694</v>
      </c>
      <c r="L25" s="12" t="s">
        <v>140</v>
      </c>
      <c r="M25" s="11" t="b">
        <v>1</v>
      </c>
      <c r="N25" s="12" t="s">
        <v>141</v>
      </c>
    </row>
    <row r="26" spans="1:14">
      <c r="A26" s="6">
        <v>31</v>
      </c>
      <c r="B26" s="7" t="s">
        <v>135</v>
      </c>
      <c r="C26" s="7" t="s">
        <v>136</v>
      </c>
      <c r="D26" s="7" t="s">
        <v>142</v>
      </c>
      <c r="E26" s="7" t="s">
        <v>143</v>
      </c>
      <c r="F26" s="7"/>
      <c r="G26" s="8" t="s">
        <v>144</v>
      </c>
      <c r="H26" s="8" t="s">
        <v>144</v>
      </c>
      <c r="I26" s="10">
        <v>21.7756403694139</v>
      </c>
      <c r="J26" s="10">
        <v>39.104253235582</v>
      </c>
      <c r="K26" s="7">
        <v>920003694</v>
      </c>
      <c r="L26" s="7" t="s">
        <v>145</v>
      </c>
      <c r="M26" s="6" t="b">
        <v>1</v>
      </c>
      <c r="N26" s="7" t="s">
        <v>143</v>
      </c>
    </row>
    <row r="27" spans="1:14">
      <c r="A27" s="11">
        <v>32</v>
      </c>
      <c r="B27" s="12" t="s">
        <v>135</v>
      </c>
      <c r="C27" s="12" t="s">
        <v>136</v>
      </c>
      <c r="D27" s="12" t="s">
        <v>146</v>
      </c>
      <c r="E27" s="12" t="s">
        <v>147</v>
      </c>
      <c r="F27" s="12"/>
      <c r="G27" s="13" t="s">
        <v>148</v>
      </c>
      <c r="H27" s="13" t="s">
        <v>148</v>
      </c>
      <c r="I27" s="14">
        <v>21.7506681190642</v>
      </c>
      <c r="J27" s="14">
        <v>39.1924725120061</v>
      </c>
      <c r="K27" s="12">
        <v>920003694</v>
      </c>
      <c r="L27" s="12" t="s">
        <v>149</v>
      </c>
      <c r="M27" s="11" t="b">
        <v>1</v>
      </c>
      <c r="N27" s="12" t="s">
        <v>147</v>
      </c>
    </row>
    <row r="28" spans="1:14">
      <c r="A28" s="6">
        <v>33</v>
      </c>
      <c r="B28" s="7" t="s">
        <v>135</v>
      </c>
      <c r="C28" s="7" t="s">
        <v>136</v>
      </c>
      <c r="D28" s="7" t="s">
        <v>150</v>
      </c>
      <c r="E28" s="7" t="s">
        <v>151</v>
      </c>
      <c r="F28" s="7"/>
      <c r="G28" s="8" t="s">
        <v>152</v>
      </c>
      <c r="H28" s="8" t="s">
        <v>152</v>
      </c>
      <c r="I28" s="10">
        <v>21.593880930723</v>
      </c>
      <c r="J28" s="10">
        <v>39.238073038623</v>
      </c>
      <c r="K28" s="7">
        <v>920003694</v>
      </c>
      <c r="L28" s="7" t="s">
        <v>153</v>
      </c>
      <c r="M28" s="6" t="b">
        <v>1</v>
      </c>
      <c r="N28" s="7" t="s">
        <v>151</v>
      </c>
    </row>
    <row r="29" ht="28.8" spans="1:14">
      <c r="A29" s="11">
        <v>34</v>
      </c>
      <c r="B29" s="12" t="s">
        <v>135</v>
      </c>
      <c r="C29" s="12" t="s">
        <v>136</v>
      </c>
      <c r="D29" s="12" t="s">
        <v>154</v>
      </c>
      <c r="E29" s="12" t="s">
        <v>155</v>
      </c>
      <c r="F29" s="12"/>
      <c r="G29" s="13" t="s">
        <v>156</v>
      </c>
      <c r="H29" s="13" t="s">
        <v>156</v>
      </c>
      <c r="I29" s="14">
        <v>21.6119253050149</v>
      </c>
      <c r="J29" s="14">
        <v>39.2098517425682</v>
      </c>
      <c r="K29" s="12">
        <v>920003694</v>
      </c>
      <c r="L29" s="12" t="s">
        <v>157</v>
      </c>
      <c r="M29" s="11" t="b">
        <v>1</v>
      </c>
      <c r="N29" s="12" t="s">
        <v>155</v>
      </c>
    </row>
    <row r="30" spans="1:14">
      <c r="A30" s="6">
        <v>39</v>
      </c>
      <c r="B30" s="7" t="s">
        <v>158</v>
      </c>
      <c r="C30" s="7" t="s">
        <v>158</v>
      </c>
      <c r="D30" s="7" t="s">
        <v>159</v>
      </c>
      <c r="E30" s="7" t="s">
        <v>160</v>
      </c>
      <c r="F30" s="7"/>
      <c r="G30" s="8" t="s">
        <v>161</v>
      </c>
      <c r="H30" s="8" t="s">
        <v>161</v>
      </c>
      <c r="I30" s="10">
        <v>21.350775911157</v>
      </c>
      <c r="J30" s="10">
        <v>39.903233738623</v>
      </c>
      <c r="K30" s="7">
        <v>920003694</v>
      </c>
      <c r="L30" s="7" t="s">
        <v>162</v>
      </c>
      <c r="M30" s="6" t="b">
        <v>1</v>
      </c>
      <c r="N30" s="7" t="s">
        <v>160</v>
      </c>
    </row>
    <row r="31" ht="28.8" spans="1:14">
      <c r="A31" s="11">
        <v>40</v>
      </c>
      <c r="B31" s="12" t="s">
        <v>158</v>
      </c>
      <c r="C31" s="12" t="s">
        <v>158</v>
      </c>
      <c r="D31" s="12" t="s">
        <v>163</v>
      </c>
      <c r="E31" s="12" t="s">
        <v>164</v>
      </c>
      <c r="F31" s="12"/>
      <c r="G31" s="13" t="s">
        <v>165</v>
      </c>
      <c r="H31" s="13" t="s">
        <v>165</v>
      </c>
      <c r="I31" s="14">
        <v>21.7811751880753</v>
      </c>
      <c r="J31" s="14">
        <v>39.9646307546514</v>
      </c>
      <c r="K31" s="12">
        <v>920003694</v>
      </c>
      <c r="L31" s="12" t="s">
        <v>166</v>
      </c>
      <c r="M31" s="11" t="b">
        <v>1</v>
      </c>
      <c r="N31" s="12" t="s">
        <v>164</v>
      </c>
    </row>
    <row r="32" spans="1:14">
      <c r="A32" s="6">
        <v>41</v>
      </c>
      <c r="B32" s="7" t="s">
        <v>158</v>
      </c>
      <c r="C32" s="7" t="s">
        <v>158</v>
      </c>
      <c r="D32" s="7" t="s">
        <v>167</v>
      </c>
      <c r="E32" s="7" t="s">
        <v>168</v>
      </c>
      <c r="F32" s="7"/>
      <c r="G32" s="8" t="s">
        <v>169</v>
      </c>
      <c r="H32" s="8" t="s">
        <v>169</v>
      </c>
      <c r="I32" s="10">
        <v>21.9197282049898</v>
      </c>
      <c r="J32" s="10">
        <v>39.844408917116</v>
      </c>
      <c r="K32" s="7">
        <v>920003694</v>
      </c>
      <c r="L32" s="7" t="s">
        <v>170</v>
      </c>
      <c r="M32" s="6" t="b">
        <v>1</v>
      </c>
      <c r="N32" s="7" t="s">
        <v>168</v>
      </c>
    </row>
    <row r="33" spans="1:14">
      <c r="A33" s="11">
        <v>45</v>
      </c>
      <c r="B33" s="12" t="s">
        <v>171</v>
      </c>
      <c r="C33" s="12" t="s">
        <v>172</v>
      </c>
      <c r="D33" s="12" t="s">
        <v>173</v>
      </c>
      <c r="E33" s="12" t="s">
        <v>174</v>
      </c>
      <c r="F33" s="12"/>
      <c r="G33" s="13" t="s">
        <v>175</v>
      </c>
      <c r="H33" s="13" t="s">
        <v>175</v>
      </c>
      <c r="I33" s="14">
        <v>21.2556361567682</v>
      </c>
      <c r="J33" s="14">
        <v>40.4086868722134</v>
      </c>
      <c r="K33" s="12">
        <v>920003694</v>
      </c>
      <c r="L33" s="12" t="s">
        <v>176</v>
      </c>
      <c r="M33" s="11" t="b">
        <v>1</v>
      </c>
      <c r="N33" s="12" t="s">
        <v>174</v>
      </c>
    </row>
    <row r="34" spans="1:14">
      <c r="A34" s="6">
        <v>46</v>
      </c>
      <c r="B34" s="7" t="s">
        <v>171</v>
      </c>
      <c r="C34" s="7" t="s">
        <v>172</v>
      </c>
      <c r="D34" s="7" t="s">
        <v>177</v>
      </c>
      <c r="E34" s="7" t="s">
        <v>178</v>
      </c>
      <c r="F34" s="7"/>
      <c r="G34" s="8" t="s">
        <v>179</v>
      </c>
      <c r="H34" s="8" t="s">
        <v>179</v>
      </c>
      <c r="I34" s="10">
        <v>21.855706582743</v>
      </c>
      <c r="J34" s="10">
        <v>40.4150947921868</v>
      </c>
      <c r="K34" s="7">
        <v>920003694</v>
      </c>
      <c r="L34" s="7" t="s">
        <v>180</v>
      </c>
      <c r="M34" s="6" t="b">
        <v>1</v>
      </c>
      <c r="N34" s="7" t="s">
        <v>178</v>
      </c>
    </row>
    <row r="35" ht="28.8" spans="1:14">
      <c r="A35" s="11">
        <v>51</v>
      </c>
      <c r="B35" s="12" t="s">
        <v>181</v>
      </c>
      <c r="C35" s="12" t="s">
        <v>182</v>
      </c>
      <c r="D35" s="12" t="s">
        <v>183</v>
      </c>
      <c r="E35" s="12" t="s">
        <v>184</v>
      </c>
      <c r="F35" s="12"/>
      <c r="G35" s="13" t="s">
        <v>185</v>
      </c>
      <c r="H35" s="13" t="s">
        <v>185</v>
      </c>
      <c r="I35" s="14">
        <v>26.481445122976</v>
      </c>
      <c r="J35" s="14">
        <v>50.0465308925902</v>
      </c>
      <c r="K35" s="12">
        <v>920003694</v>
      </c>
      <c r="L35" s="12" t="s">
        <v>186</v>
      </c>
      <c r="M35" s="11" t="b">
        <v>1</v>
      </c>
      <c r="N35" s="12" t="s">
        <v>187</v>
      </c>
    </row>
    <row r="36" ht="28.8" spans="1:14">
      <c r="A36" s="6">
        <v>58</v>
      </c>
      <c r="B36" s="7" t="s">
        <v>188</v>
      </c>
      <c r="C36" s="7" t="s">
        <v>189</v>
      </c>
      <c r="D36" s="7" t="s">
        <v>190</v>
      </c>
      <c r="E36" s="7" t="s">
        <v>191</v>
      </c>
      <c r="F36" s="7"/>
      <c r="G36" s="8" t="s">
        <v>192</v>
      </c>
      <c r="H36" s="8" t="s">
        <v>192</v>
      </c>
      <c r="I36" s="10">
        <v>27.4710369270255</v>
      </c>
      <c r="J36" s="10">
        <v>41.6774277853196</v>
      </c>
      <c r="K36" s="7">
        <v>920003694</v>
      </c>
      <c r="L36" s="7" t="s">
        <v>193</v>
      </c>
      <c r="M36" s="6" t="b">
        <v>1</v>
      </c>
      <c r="N36" s="7" t="s">
        <v>191</v>
      </c>
    </row>
    <row r="37" ht="28.8" spans="1:14">
      <c r="A37" s="11">
        <v>59</v>
      </c>
      <c r="B37" s="12" t="s">
        <v>194</v>
      </c>
      <c r="C37" s="12" t="s">
        <v>189</v>
      </c>
      <c r="D37" s="12" t="s">
        <v>195</v>
      </c>
      <c r="E37" s="12" t="s">
        <v>196</v>
      </c>
      <c r="F37" s="12"/>
      <c r="G37" s="13" t="s">
        <v>197</v>
      </c>
      <c r="H37" s="13" t="s">
        <v>197</v>
      </c>
      <c r="I37" s="14">
        <v>27.5502665033439</v>
      </c>
      <c r="J37" s="14">
        <v>41.697071489584</v>
      </c>
      <c r="K37" s="12">
        <v>920003694</v>
      </c>
      <c r="L37" s="12" t="s">
        <v>198</v>
      </c>
      <c r="M37" s="11" t="b">
        <v>1</v>
      </c>
      <c r="N37" s="12" t="s">
        <v>196</v>
      </c>
    </row>
    <row r="38" ht="28.8" spans="1:14">
      <c r="A38" s="6">
        <v>64</v>
      </c>
      <c r="B38" s="7" t="s">
        <v>199</v>
      </c>
      <c r="C38" s="7" t="s">
        <v>200</v>
      </c>
      <c r="D38" s="7" t="s">
        <v>200</v>
      </c>
      <c r="E38" s="7" t="s">
        <v>201</v>
      </c>
      <c r="F38" s="7" t="s">
        <v>31</v>
      </c>
      <c r="G38" s="8" t="s">
        <v>202</v>
      </c>
      <c r="H38" s="8" t="s">
        <v>202</v>
      </c>
      <c r="I38" s="10">
        <v>26.4045289490212</v>
      </c>
      <c r="J38" s="10">
        <v>43.9138763269836</v>
      </c>
      <c r="K38" s="7">
        <v>920003694</v>
      </c>
      <c r="L38" s="7" t="s">
        <v>203</v>
      </c>
      <c r="M38" s="6" t="b">
        <v>1</v>
      </c>
      <c r="N38" s="7" t="s">
        <v>204</v>
      </c>
    </row>
    <row r="39" spans="1:14">
      <c r="A39" s="11">
        <v>65</v>
      </c>
      <c r="B39" s="12" t="s">
        <v>205</v>
      </c>
      <c r="C39" s="12" t="s">
        <v>206</v>
      </c>
      <c r="D39" s="12" t="s">
        <v>206</v>
      </c>
      <c r="E39" s="12" t="s">
        <v>207</v>
      </c>
      <c r="F39" s="12"/>
      <c r="G39" s="13" t="s">
        <v>208</v>
      </c>
      <c r="H39" s="13" t="s">
        <v>208</v>
      </c>
      <c r="I39" s="14">
        <v>26.0713896535393</v>
      </c>
      <c r="J39" s="14">
        <v>43.9820698</v>
      </c>
      <c r="K39" s="12">
        <v>920003694</v>
      </c>
      <c r="L39" s="12" t="s">
        <v>209</v>
      </c>
      <c r="M39" s="11" t="b">
        <v>1</v>
      </c>
      <c r="N39" s="12" t="s">
        <v>207</v>
      </c>
    </row>
    <row r="40" spans="1:14">
      <c r="A40" s="6">
        <v>66</v>
      </c>
      <c r="B40" s="7" t="s">
        <v>205</v>
      </c>
      <c r="C40" s="7" t="s">
        <v>210</v>
      </c>
      <c r="D40" s="7" t="s">
        <v>210</v>
      </c>
      <c r="E40" s="7" t="s">
        <v>211</v>
      </c>
      <c r="F40" s="7"/>
      <c r="G40" s="8" t="s">
        <v>212</v>
      </c>
      <c r="H40" s="8" t="s">
        <v>212</v>
      </c>
      <c r="I40" s="10">
        <v>25.8631893471903</v>
      </c>
      <c r="J40" s="10">
        <v>43.5124877423279</v>
      </c>
      <c r="K40" s="7">
        <v>920003694</v>
      </c>
      <c r="L40" s="7" t="s">
        <v>213</v>
      </c>
      <c r="M40" s="6" t="b">
        <v>1</v>
      </c>
      <c r="N40" s="7" t="s">
        <v>211</v>
      </c>
    </row>
    <row r="41" spans="1:14">
      <c r="A41" s="11">
        <v>67</v>
      </c>
      <c r="B41" s="12" t="s">
        <v>199</v>
      </c>
      <c r="C41" s="12" t="s">
        <v>214</v>
      </c>
      <c r="D41" s="12" t="s">
        <v>214</v>
      </c>
      <c r="E41" s="12" t="s">
        <v>215</v>
      </c>
      <c r="F41" s="12"/>
      <c r="G41" s="13" t="s">
        <v>216</v>
      </c>
      <c r="H41" s="13" t="s">
        <v>216</v>
      </c>
      <c r="I41" s="14">
        <v>26.004683183696</v>
      </c>
      <c r="J41" s="14">
        <v>43.7365973698362</v>
      </c>
      <c r="K41" s="12">
        <v>920003694</v>
      </c>
      <c r="L41" s="12" t="s">
        <v>217</v>
      </c>
      <c r="M41" s="11" t="b">
        <v>1</v>
      </c>
      <c r="N41" s="12" t="s">
        <v>215</v>
      </c>
    </row>
    <row r="42" spans="1:14">
      <c r="A42" s="6">
        <v>68</v>
      </c>
      <c r="B42" s="12" t="s">
        <v>199</v>
      </c>
      <c r="C42" s="7" t="s">
        <v>218</v>
      </c>
      <c r="D42" s="7" t="s">
        <v>218</v>
      </c>
      <c r="E42" s="7" t="s">
        <v>219</v>
      </c>
      <c r="F42" s="7"/>
      <c r="G42" s="8" t="s">
        <v>220</v>
      </c>
      <c r="H42" s="8" t="s">
        <v>220</v>
      </c>
      <c r="I42" s="10">
        <v>26.1473883341387</v>
      </c>
      <c r="J42" s="10">
        <v>43.6512875</v>
      </c>
      <c r="K42" s="7">
        <v>920003694</v>
      </c>
      <c r="L42" s="7" t="s">
        <v>221</v>
      </c>
      <c r="M42" s="6" t="b">
        <v>1</v>
      </c>
      <c r="N42" s="7" t="s">
        <v>219</v>
      </c>
    </row>
    <row r="43" ht="28.8" spans="1:14">
      <c r="A43" s="11">
        <v>75</v>
      </c>
      <c r="B43" s="12" t="s">
        <v>222</v>
      </c>
      <c r="C43" s="12" t="s">
        <v>223</v>
      </c>
      <c r="D43" s="12" t="s">
        <v>223</v>
      </c>
      <c r="E43" s="12" t="s">
        <v>224</v>
      </c>
      <c r="F43" s="12"/>
      <c r="G43" s="13" t="s">
        <v>225</v>
      </c>
      <c r="H43" s="13" t="s">
        <v>225</v>
      </c>
      <c r="I43" s="14">
        <v>20.442141372355</v>
      </c>
      <c r="J43" s="14">
        <v>44.8648217288361</v>
      </c>
      <c r="K43" s="12">
        <v>920003694</v>
      </c>
      <c r="L43" s="12" t="s">
        <v>226</v>
      </c>
      <c r="M43" s="11" t="b">
        <v>1</v>
      </c>
      <c r="N43" s="12" t="s">
        <v>224</v>
      </c>
    </row>
    <row r="44" spans="1:14">
      <c r="A44" s="6">
        <v>76</v>
      </c>
      <c r="B44" s="7" t="s">
        <v>222</v>
      </c>
      <c r="C44" s="7" t="s">
        <v>223</v>
      </c>
      <c r="D44" s="7" t="s">
        <v>227</v>
      </c>
      <c r="E44" s="7" t="s">
        <v>228</v>
      </c>
      <c r="F44" s="7"/>
      <c r="G44" s="8" t="s">
        <v>229</v>
      </c>
      <c r="H44" s="8" t="s">
        <v>229</v>
      </c>
      <c r="I44" s="10">
        <v>20.4741002810576</v>
      </c>
      <c r="J44" s="10">
        <v>45.5750050964342</v>
      </c>
      <c r="K44" s="7">
        <v>920003694</v>
      </c>
      <c r="L44" s="7" t="s">
        <v>230</v>
      </c>
      <c r="M44" s="6" t="b">
        <v>1</v>
      </c>
      <c r="N44" s="7" t="s">
        <v>228</v>
      </c>
    </row>
    <row r="45" spans="1:14">
      <c r="A45" s="11">
        <v>80</v>
      </c>
      <c r="B45" s="12" t="s">
        <v>231</v>
      </c>
      <c r="C45" s="12" t="s">
        <v>232</v>
      </c>
      <c r="D45" s="12" t="s">
        <v>233</v>
      </c>
      <c r="E45" s="12" t="s">
        <v>234</v>
      </c>
      <c r="F45" s="12"/>
      <c r="G45" s="13" t="s">
        <v>235</v>
      </c>
      <c r="H45" s="13" t="s">
        <v>235</v>
      </c>
      <c r="I45" s="14">
        <v>25.2297851289802</v>
      </c>
      <c r="J45" s="14">
        <v>45.2621138134918</v>
      </c>
      <c r="K45" s="12">
        <v>920003694</v>
      </c>
      <c r="L45" s="12" t="s">
        <v>236</v>
      </c>
      <c r="M45" s="11" t="b">
        <v>1</v>
      </c>
      <c r="N45" s="12" t="s">
        <v>234</v>
      </c>
    </row>
    <row r="46" spans="1:14">
      <c r="A46" s="6">
        <v>81</v>
      </c>
      <c r="B46" s="12" t="s">
        <v>231</v>
      </c>
      <c r="C46" s="7" t="s">
        <v>232</v>
      </c>
      <c r="D46" s="7" t="s">
        <v>190</v>
      </c>
      <c r="E46" s="7" t="s">
        <v>237</v>
      </c>
      <c r="F46" s="7"/>
      <c r="G46" s="8" t="s">
        <v>238</v>
      </c>
      <c r="H46" s="8" t="s">
        <v>238</v>
      </c>
      <c r="I46" s="10">
        <v>25.2398162097612</v>
      </c>
      <c r="J46" s="10">
        <v>45.2458630558197</v>
      </c>
      <c r="K46" s="7">
        <v>920003694</v>
      </c>
      <c r="L46" s="7" t="s">
        <v>239</v>
      </c>
      <c r="M46" s="6" t="b">
        <v>1</v>
      </c>
      <c r="N46" s="7" t="s">
        <v>237</v>
      </c>
    </row>
    <row r="47" spans="1:14">
      <c r="A47" s="11">
        <v>82</v>
      </c>
      <c r="B47" s="12" t="s">
        <v>231</v>
      </c>
      <c r="C47" s="12" t="s">
        <v>240</v>
      </c>
      <c r="D47" s="12" t="s">
        <v>240</v>
      </c>
      <c r="E47" s="12" t="s">
        <v>241</v>
      </c>
      <c r="F47" s="12"/>
      <c r="G47" s="13" t="s">
        <v>242</v>
      </c>
      <c r="H47" s="13" t="s">
        <v>242</v>
      </c>
      <c r="I47" s="14">
        <v>25.8950937709838</v>
      </c>
      <c r="J47" s="14">
        <v>45.3970295865082</v>
      </c>
      <c r="K47" s="12">
        <v>920003694</v>
      </c>
      <c r="L47" s="12" t="s">
        <v>243</v>
      </c>
      <c r="M47" s="11" t="b">
        <v>1</v>
      </c>
      <c r="N47" s="12" t="s">
        <v>241</v>
      </c>
    </row>
    <row r="48" ht="28.8" spans="1:14">
      <c r="A48" s="6">
        <v>83</v>
      </c>
      <c r="B48" s="12" t="s">
        <v>231</v>
      </c>
      <c r="C48" s="7" t="s">
        <v>244</v>
      </c>
      <c r="D48" s="7" t="s">
        <v>245</v>
      </c>
      <c r="E48" s="7" t="s">
        <v>246</v>
      </c>
      <c r="F48" s="7"/>
      <c r="G48" s="8" t="s">
        <v>247</v>
      </c>
      <c r="H48" s="8" t="s">
        <v>247</v>
      </c>
      <c r="I48" s="10">
        <v>26.3148918405577</v>
      </c>
      <c r="J48" s="10">
        <v>44.8229768116394</v>
      </c>
      <c r="K48" s="7">
        <v>920003694</v>
      </c>
      <c r="L48" s="7" t="s">
        <v>248</v>
      </c>
      <c r="M48" s="6" t="b">
        <v>1</v>
      </c>
      <c r="N48" s="7" t="s">
        <v>246</v>
      </c>
    </row>
    <row r="49" ht="28.8" spans="1:14">
      <c r="A49" s="11">
        <v>84</v>
      </c>
      <c r="B49" s="12" t="s">
        <v>231</v>
      </c>
      <c r="C49" s="12" t="s">
        <v>244</v>
      </c>
      <c r="D49" s="12" t="s">
        <v>249</v>
      </c>
      <c r="E49" s="12" t="s">
        <v>250</v>
      </c>
      <c r="F49" s="12"/>
      <c r="G49" s="13" t="s">
        <v>251</v>
      </c>
      <c r="H49" s="13" t="s">
        <v>251</v>
      </c>
      <c r="I49" s="14">
        <v>26.3955472815229</v>
      </c>
      <c r="J49" s="14">
        <v>44.7950653844851</v>
      </c>
      <c r="K49" s="12">
        <v>920003694</v>
      </c>
      <c r="L49" s="12" t="s">
        <v>252</v>
      </c>
      <c r="M49" s="11" t="b">
        <v>1</v>
      </c>
      <c r="N49" s="12" t="s">
        <v>250</v>
      </c>
    </row>
    <row r="50" ht="28.8" spans="1:14">
      <c r="A50" s="6">
        <v>90</v>
      </c>
      <c r="B50" s="7" t="s">
        <v>253</v>
      </c>
      <c r="C50" s="7" t="s">
        <v>254</v>
      </c>
      <c r="D50" s="7" t="s">
        <v>254</v>
      </c>
      <c r="E50" s="7" t="s">
        <v>255</v>
      </c>
      <c r="F50" s="7"/>
      <c r="G50" s="8" t="s">
        <v>256</v>
      </c>
      <c r="H50" s="8" t="s">
        <v>256</v>
      </c>
      <c r="I50" s="10">
        <v>28.4184476474462</v>
      </c>
      <c r="J50" s="10">
        <v>45.9781944</v>
      </c>
      <c r="K50" s="7">
        <v>920003694</v>
      </c>
      <c r="L50" s="7" t="s">
        <v>257</v>
      </c>
      <c r="M50" s="6" t="b">
        <v>1</v>
      </c>
      <c r="N50" s="7" t="s">
        <v>258</v>
      </c>
    </row>
    <row r="51" spans="1:14">
      <c r="A51" s="11">
        <v>98</v>
      </c>
      <c r="B51" s="12" t="s">
        <v>259</v>
      </c>
      <c r="C51" s="12" t="s">
        <v>260</v>
      </c>
      <c r="D51" s="12" t="s">
        <v>260</v>
      </c>
      <c r="E51" s="12" t="s">
        <v>261</v>
      </c>
      <c r="F51" s="12"/>
      <c r="G51" s="13" t="s">
        <v>262</v>
      </c>
      <c r="H51" s="13" t="s">
        <v>262</v>
      </c>
      <c r="I51" s="14">
        <v>24.545224967707</v>
      </c>
      <c r="J51" s="14">
        <v>44.4441363</v>
      </c>
      <c r="K51" s="12">
        <v>920003694</v>
      </c>
      <c r="L51" s="12" t="s">
        <v>263</v>
      </c>
      <c r="M51" s="11" t="b">
        <v>1</v>
      </c>
      <c r="N51" s="12" t="s">
        <v>261</v>
      </c>
    </row>
    <row r="52" spans="1:14">
      <c r="A52" s="6">
        <v>99</v>
      </c>
      <c r="B52" s="12" t="s">
        <v>259</v>
      </c>
      <c r="C52" s="7" t="s">
        <v>264</v>
      </c>
      <c r="D52" s="7" t="s">
        <v>264</v>
      </c>
      <c r="E52" s="7" t="s">
        <v>265</v>
      </c>
      <c r="F52" s="7"/>
      <c r="G52" s="8" t="s">
        <v>266</v>
      </c>
      <c r="H52" s="8" t="s">
        <v>266</v>
      </c>
      <c r="I52" s="10">
        <v>23.9007008855403</v>
      </c>
      <c r="J52" s="10">
        <v>42.9111964269836</v>
      </c>
      <c r="K52" s="7">
        <v>920003694</v>
      </c>
      <c r="L52" s="7" t="s">
        <v>267</v>
      </c>
      <c r="M52" s="6" t="b">
        <v>1</v>
      </c>
      <c r="N52" s="7" t="s">
        <v>265</v>
      </c>
    </row>
    <row r="53" spans="1:14">
      <c r="A53" s="11">
        <v>100</v>
      </c>
      <c r="B53" s="12" t="s">
        <v>259</v>
      </c>
      <c r="C53" s="12" t="s">
        <v>268</v>
      </c>
      <c r="D53" s="12" t="s">
        <v>268</v>
      </c>
      <c r="E53" s="12" t="s">
        <v>269</v>
      </c>
      <c r="F53" s="12"/>
      <c r="G53" s="13" t="s">
        <v>270</v>
      </c>
      <c r="H53" s="13" t="s">
        <v>270</v>
      </c>
      <c r="I53" s="14">
        <v>25.1880080566679</v>
      </c>
      <c r="J53" s="14">
        <v>44.6011174423279</v>
      </c>
      <c r="K53" s="12">
        <v>920003694</v>
      </c>
      <c r="L53" s="12" t="s">
        <v>271</v>
      </c>
      <c r="M53" s="11" t="b">
        <v>1</v>
      </c>
      <c r="N53" s="12" t="s">
        <v>269</v>
      </c>
    </row>
    <row r="54" ht="28.8" spans="1:14">
      <c r="A54" s="6">
        <v>105</v>
      </c>
      <c r="B54" s="7" t="s">
        <v>272</v>
      </c>
      <c r="C54" s="7" t="s">
        <v>273</v>
      </c>
      <c r="D54" s="7" t="s">
        <v>274</v>
      </c>
      <c r="E54" s="7" t="s">
        <v>275</v>
      </c>
      <c r="F54" s="7"/>
      <c r="G54" s="8" t="s">
        <v>276</v>
      </c>
      <c r="H54" s="8" t="s">
        <v>276</v>
      </c>
      <c r="I54" s="10">
        <v>24.1468694021697</v>
      </c>
      <c r="J54" s="10">
        <v>47.3594270269836</v>
      </c>
      <c r="K54" s="7">
        <v>920003694</v>
      </c>
      <c r="L54" s="7" t="s">
        <v>277</v>
      </c>
      <c r="M54" s="6" t="b">
        <v>1</v>
      </c>
      <c r="N54" s="7" t="s">
        <v>275</v>
      </c>
    </row>
    <row r="55" ht="28.8" spans="1:14">
      <c r="A55" s="11">
        <v>106</v>
      </c>
      <c r="B55" s="7" t="s">
        <v>272</v>
      </c>
      <c r="C55" s="12" t="s">
        <v>278</v>
      </c>
      <c r="D55" s="12" t="s">
        <v>278</v>
      </c>
      <c r="E55" s="12" t="s">
        <v>279</v>
      </c>
      <c r="F55" s="12"/>
      <c r="G55" s="13" t="s">
        <v>280</v>
      </c>
      <c r="H55" s="13" t="s">
        <v>280</v>
      </c>
      <c r="I55" s="14">
        <v>23.9960723733949</v>
      </c>
      <c r="J55" s="14">
        <v>47.1371635730164</v>
      </c>
      <c r="K55" s="12">
        <v>920003694</v>
      </c>
      <c r="L55" s="12" t="s">
        <v>281</v>
      </c>
      <c r="M55" s="11" t="b">
        <v>1</v>
      </c>
      <c r="N55" s="12" t="s">
        <v>279</v>
      </c>
    </row>
    <row r="56" ht="28.8" spans="1:14">
      <c r="A56" s="6">
        <v>107</v>
      </c>
      <c r="B56" s="7" t="s">
        <v>272</v>
      </c>
      <c r="C56" s="7" t="s">
        <v>282</v>
      </c>
      <c r="D56" s="7" t="s">
        <v>282</v>
      </c>
      <c r="E56" s="7" t="s">
        <v>283</v>
      </c>
      <c r="F56" s="7"/>
      <c r="G56" s="8" t="s">
        <v>284</v>
      </c>
      <c r="H56" s="8" t="s">
        <v>284</v>
      </c>
      <c r="I56" s="10">
        <v>23.4915926816505</v>
      </c>
      <c r="J56" s="10">
        <v>46.8817044</v>
      </c>
      <c r="K56" s="7">
        <v>920003694</v>
      </c>
      <c r="L56" s="7" t="s">
        <v>285</v>
      </c>
      <c r="M56" s="6" t="b">
        <v>1</v>
      </c>
      <c r="N56" s="7" t="s">
        <v>283</v>
      </c>
    </row>
    <row r="57" ht="28.8" spans="1:14">
      <c r="A57" s="11">
        <v>108</v>
      </c>
      <c r="B57" s="7" t="s">
        <v>272</v>
      </c>
      <c r="C57" s="12" t="s">
        <v>273</v>
      </c>
      <c r="D57" s="12" t="s">
        <v>273</v>
      </c>
      <c r="E57" s="12" t="s">
        <v>286</v>
      </c>
      <c r="F57" s="12"/>
      <c r="G57" s="13" t="s">
        <v>287</v>
      </c>
      <c r="H57" s="13" t="s">
        <v>287</v>
      </c>
      <c r="I57" s="14">
        <v>24.1528321397241</v>
      </c>
      <c r="J57" s="14">
        <v>47.277395</v>
      </c>
      <c r="K57" s="12">
        <v>920003694</v>
      </c>
      <c r="L57" s="12" t="s">
        <v>288</v>
      </c>
      <c r="M57" s="11" t="b">
        <v>1</v>
      </c>
      <c r="N57" s="12" t="s">
        <v>286</v>
      </c>
    </row>
    <row r="58" ht="28.8" spans="1:14">
      <c r="A58" s="6">
        <v>109</v>
      </c>
      <c r="B58" s="7" t="s">
        <v>272</v>
      </c>
      <c r="C58" s="7" t="s">
        <v>289</v>
      </c>
      <c r="D58" s="7" t="s">
        <v>289</v>
      </c>
      <c r="E58" s="7" t="s">
        <v>290</v>
      </c>
      <c r="F58" s="7"/>
      <c r="G58" s="8" t="s">
        <v>291</v>
      </c>
      <c r="H58" s="8" t="s">
        <v>291</v>
      </c>
      <c r="I58" s="10">
        <v>22.2928463424113</v>
      </c>
      <c r="J58" s="10">
        <v>46.7229583</v>
      </c>
      <c r="K58" s="7">
        <v>920003694</v>
      </c>
      <c r="L58" s="7" t="s">
        <v>292</v>
      </c>
      <c r="M58" s="6" t="b">
        <v>1</v>
      </c>
      <c r="N58" s="7" t="s">
        <v>290</v>
      </c>
    </row>
    <row r="59" spans="1:14">
      <c r="A59" s="11">
        <v>114</v>
      </c>
      <c r="B59" s="12" t="s">
        <v>293</v>
      </c>
      <c r="C59" s="12" t="s">
        <v>294</v>
      </c>
      <c r="D59" s="12" t="s">
        <v>294</v>
      </c>
      <c r="E59" s="12" t="s">
        <v>295</v>
      </c>
      <c r="F59" s="12"/>
      <c r="G59" s="13" t="s">
        <v>296</v>
      </c>
      <c r="H59" s="13" t="s">
        <v>296</v>
      </c>
      <c r="I59" s="14">
        <v>24.0514727446197</v>
      </c>
      <c r="J59" s="14">
        <v>45.2632738558197</v>
      </c>
      <c r="K59" s="12">
        <v>920003694</v>
      </c>
      <c r="L59" s="12" t="s">
        <v>297</v>
      </c>
      <c r="M59" s="11" t="b">
        <v>1</v>
      </c>
      <c r="N59" s="12" t="s">
        <v>295</v>
      </c>
    </row>
    <row r="60" spans="1:14">
      <c r="A60" s="6">
        <v>115</v>
      </c>
      <c r="B60" s="7" t="s">
        <v>293</v>
      </c>
      <c r="C60" s="7" t="s">
        <v>298</v>
      </c>
      <c r="D60" s="7" t="s">
        <v>298</v>
      </c>
      <c r="E60" s="7" t="s">
        <v>299</v>
      </c>
      <c r="F60" s="7"/>
      <c r="G60" s="8" t="s">
        <v>300</v>
      </c>
      <c r="H60" s="8" t="s">
        <v>300</v>
      </c>
      <c r="I60" s="10">
        <v>24.4721931398287</v>
      </c>
      <c r="J60" s="10">
        <v>46.2723678423279</v>
      </c>
      <c r="K60" s="7">
        <v>920003694</v>
      </c>
      <c r="L60" s="7" t="s">
        <v>301</v>
      </c>
      <c r="M60" s="6" t="b">
        <v>1</v>
      </c>
      <c r="N60" s="7" t="s">
        <v>299</v>
      </c>
    </row>
    <row r="61" spans="1:14">
      <c r="A61" s="11">
        <v>119</v>
      </c>
      <c r="B61" s="12" t="s">
        <v>302</v>
      </c>
      <c r="C61" s="12" t="s">
        <v>303</v>
      </c>
      <c r="D61" s="12" t="s">
        <v>303</v>
      </c>
      <c r="E61" s="12" t="s">
        <v>304</v>
      </c>
      <c r="F61" s="12"/>
      <c r="G61" s="13" t="s">
        <v>305</v>
      </c>
      <c r="H61" s="13" t="s">
        <v>305</v>
      </c>
      <c r="I61" s="14">
        <v>25.2845966059274</v>
      </c>
      <c r="J61" s="14">
        <v>45.8617262466271</v>
      </c>
      <c r="K61" s="12">
        <v>920003694</v>
      </c>
      <c r="L61" s="12" t="s">
        <v>306</v>
      </c>
      <c r="M61" s="11" t="b">
        <v>1</v>
      </c>
      <c r="N61" s="12" t="s">
        <v>304</v>
      </c>
    </row>
    <row r="62" spans="1:14">
      <c r="A62" s="6">
        <v>120</v>
      </c>
      <c r="B62" s="7" t="s">
        <v>307</v>
      </c>
      <c r="C62" s="7" t="s">
        <v>308</v>
      </c>
      <c r="D62" s="7" t="s">
        <v>308</v>
      </c>
      <c r="E62" s="7" t="s">
        <v>309</v>
      </c>
      <c r="F62" s="7"/>
      <c r="G62" s="8" t="s">
        <v>310</v>
      </c>
      <c r="H62" s="8" t="s">
        <v>310</v>
      </c>
      <c r="I62" s="10">
        <v>25.5643207943732</v>
      </c>
      <c r="J62" s="10">
        <v>47.1590017779099</v>
      </c>
      <c r="K62" s="7">
        <v>920003694</v>
      </c>
      <c r="L62" s="7" t="s">
        <v>311</v>
      </c>
      <c r="M62" s="6" t="b">
        <v>1</v>
      </c>
      <c r="N62" s="7" t="s">
        <v>309</v>
      </c>
    </row>
  </sheetData>
  <hyperlinks>
    <hyperlink ref="H2" r:id="rId3" display="https://maps.app.goo.gl/7RKTqwjUksjCMvsN6"/>
  </hyperlink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"/>
  <sheetViews>
    <sheetView workbookViewId="0">
      <selection activeCell="A1" sqref="A1"/>
    </sheetView>
  </sheetViews>
  <sheetFormatPr defaultColWidth="9" defaultRowHeight="14.4" outlineLevelCol="1"/>
  <cols>
    <col min="1" max="1" width="30" customWidth="1"/>
    <col min="2" max="2" width="18" customWidth="1"/>
  </cols>
  <sheetData>
    <row r="1" spans="1:2">
      <c r="A1" s="1" t="s">
        <v>15</v>
      </c>
      <c r="B1" s="1" t="s">
        <v>312</v>
      </c>
    </row>
    <row r="2" spans="1:2">
      <c r="A2" s="2" t="s">
        <v>289</v>
      </c>
      <c r="B2" s="2">
        <f>COUNTIF(Structured_Branches!$C:$C,A2)</f>
        <v>1</v>
      </c>
    </row>
    <row r="3" spans="1:2">
      <c r="A3" s="3" t="s">
        <v>214</v>
      </c>
      <c r="B3" s="3">
        <f>COUNTIF(Structured_Branches!$C:$C,A3)</f>
        <v>1</v>
      </c>
    </row>
    <row r="4" spans="1:2">
      <c r="A4" s="2" t="s">
        <v>218</v>
      </c>
      <c r="B4" s="2">
        <f>COUNTIF(Structured_Branches!$C:$C,A4)</f>
        <v>1</v>
      </c>
    </row>
    <row r="5" spans="1:2">
      <c r="A5" s="3" t="s">
        <v>273</v>
      </c>
      <c r="B5" s="3">
        <f>COUNTIF(Structured_Branches!$C:$C,A5)</f>
        <v>2</v>
      </c>
    </row>
    <row r="6" spans="1:2">
      <c r="A6" s="2" t="s">
        <v>278</v>
      </c>
      <c r="B6" s="2">
        <f>COUNTIF(Structured_Branches!$C:$C,A6)</f>
        <v>1</v>
      </c>
    </row>
    <row r="7" spans="1:2">
      <c r="A7" s="3" t="s">
        <v>260</v>
      </c>
      <c r="B7" s="3">
        <f>COUNTIF(Structured_Branches!$C:$C,A7)</f>
        <v>1</v>
      </c>
    </row>
    <row r="8" spans="1:2">
      <c r="A8" s="2" t="s">
        <v>210</v>
      </c>
      <c r="B8" s="2">
        <f>COUNTIF(Structured_Branches!$C:$C,A8)</f>
        <v>1</v>
      </c>
    </row>
    <row r="9" spans="1:2">
      <c r="A9" s="3" t="s">
        <v>28</v>
      </c>
      <c r="B9" s="3">
        <f>COUNTIF(Structured_Branches!$C:$C,A9)</f>
        <v>23</v>
      </c>
    </row>
    <row r="10" spans="1:2">
      <c r="A10" s="2" t="s">
        <v>244</v>
      </c>
      <c r="B10" s="2">
        <f>COUNTIF(Structured_Branches!$C:$C,A10)</f>
        <v>2</v>
      </c>
    </row>
    <row r="11" spans="1:2">
      <c r="A11" s="3" t="s">
        <v>172</v>
      </c>
      <c r="B11" s="3">
        <f>COUNTIF(Structured_Branches!$C:$C,A11)</f>
        <v>2</v>
      </c>
    </row>
    <row r="12" spans="1:2">
      <c r="A12" s="2" t="s">
        <v>294</v>
      </c>
      <c r="B12" s="2">
        <f>COUNTIF(Structured_Branches!$C:$C,A12)</f>
        <v>1</v>
      </c>
    </row>
    <row r="13" spans="1:2">
      <c r="A13" s="3" t="s">
        <v>240</v>
      </c>
      <c r="B13" s="3">
        <f>COUNTIF(Structured_Branches!$C:$C,A13)</f>
        <v>1</v>
      </c>
    </row>
    <row r="14" spans="1:2">
      <c r="A14" s="2" t="s">
        <v>298</v>
      </c>
      <c r="B14" s="2">
        <f>COUNTIF(Structured_Branches!$C:$C,A14)</f>
        <v>1</v>
      </c>
    </row>
    <row r="15" spans="1:2">
      <c r="A15" s="3" t="s">
        <v>200</v>
      </c>
      <c r="B15" s="3">
        <f>COUNTIF(Structured_Branches!$C:$C,A15)</f>
        <v>1</v>
      </c>
    </row>
    <row r="16" spans="1:2">
      <c r="A16" s="2" t="s">
        <v>303</v>
      </c>
      <c r="B16" s="2">
        <f>COUNTIF(Structured_Branches!$C:$C,A16)</f>
        <v>1</v>
      </c>
    </row>
    <row r="17" spans="1:2">
      <c r="A17" s="3" t="s">
        <v>136</v>
      </c>
      <c r="B17" s="3">
        <f>COUNTIF(Structured_Branches!$C:$C,A17)</f>
        <v>5</v>
      </c>
    </row>
    <row r="18" spans="1:2">
      <c r="A18" s="2" t="s">
        <v>189</v>
      </c>
      <c r="B18" s="2">
        <f>COUNTIF(Structured_Branches!$C:$C,A18)</f>
        <v>2</v>
      </c>
    </row>
    <row r="19" spans="1:2">
      <c r="A19" s="3" t="s">
        <v>254</v>
      </c>
      <c r="B19" s="3">
        <f>COUNTIF(Structured_Branches!$C:$C,A19)</f>
        <v>1</v>
      </c>
    </row>
    <row r="20" spans="1:2">
      <c r="A20" s="2" t="s">
        <v>282</v>
      </c>
      <c r="B20" s="2">
        <f>COUNTIF(Structured_Branches!$C:$C,A20)</f>
        <v>1</v>
      </c>
    </row>
    <row r="21" spans="1:2">
      <c r="A21" s="3" t="s">
        <v>308</v>
      </c>
      <c r="B21" s="3">
        <f>COUNTIF(Structured_Branches!$C:$C,A21)</f>
        <v>1</v>
      </c>
    </row>
    <row r="22" spans="1:2">
      <c r="A22" s="2" t="s">
        <v>268</v>
      </c>
      <c r="B22" s="2">
        <f>COUNTIF(Structured_Branches!$C:$C,A22)</f>
        <v>1</v>
      </c>
    </row>
    <row r="23" spans="1:2">
      <c r="A23" s="3" t="s">
        <v>182</v>
      </c>
      <c r="B23" s="3">
        <f>COUNTIF(Structured_Branches!$C:$C,A23)</f>
        <v>1</v>
      </c>
    </row>
    <row r="24" spans="1:2">
      <c r="A24" s="2" t="s">
        <v>232</v>
      </c>
      <c r="B24" s="2">
        <f>COUNTIF(Structured_Branches!$C:$C,A24)</f>
        <v>2</v>
      </c>
    </row>
    <row r="25" spans="1:2">
      <c r="A25" s="3" t="s">
        <v>264</v>
      </c>
      <c r="B25" s="3">
        <f>COUNTIF(Structured_Branches!$C:$C,A25)</f>
        <v>1</v>
      </c>
    </row>
    <row r="26" spans="1:2">
      <c r="A26" s="2" t="s">
        <v>206</v>
      </c>
      <c r="B26" s="2">
        <f>COUNTIF(Structured_Branches!$C:$C,A26)</f>
        <v>1</v>
      </c>
    </row>
    <row r="27" spans="1:2">
      <c r="A27" s="3" t="s">
        <v>158</v>
      </c>
      <c r="B27" s="3">
        <f>COUNTIF(Structured_Branches!$C:$C,A27)</f>
        <v>3</v>
      </c>
    </row>
    <row r="28" spans="1:2">
      <c r="A28" s="2" t="s">
        <v>223</v>
      </c>
      <c r="B28" s="2">
        <f>COUNTIF(Structured_Branches!$C:$C,A28)</f>
        <v>2</v>
      </c>
    </row>
    <row r="30" spans="1:2">
      <c r="A30" s="4" t="s">
        <v>313</v>
      </c>
      <c r="B30" s="4">
        <f>SUM(B2:B28)</f>
        <v>61</v>
      </c>
    </row>
    <row r="33" spans="1:2">
      <c r="A33" s="3" t="s">
        <v>314</v>
      </c>
      <c r="B33" s="3">
        <f>COUNTA(Structured_Branches!$A:$A)-1</f>
        <v>61</v>
      </c>
    </row>
    <row r="34" spans="1:2">
      <c r="A34" s="3" t="s">
        <v>315</v>
      </c>
      <c r="B34" s="3">
        <f>COUNTIF(Structured_Branches!$C:$C,"")</f>
        <v>1048514</v>
      </c>
    </row>
    <row r="35" spans="1:2">
      <c r="A35" s="3" t="s">
        <v>316</v>
      </c>
      <c r="B35" s="3">
        <f>COUNTIF(Structured_Branches!$D:$D,"")</f>
        <v>1048514</v>
      </c>
    </row>
    <row r="36" spans="1:2">
      <c r="A36" s="3" t="s">
        <v>317</v>
      </c>
      <c r="B36" s="3">
        <f>COUNTIF(Structured_Branches!$F:$F,"")</f>
        <v>1048560</v>
      </c>
    </row>
    <row r="37" spans="1:2">
      <c r="A37" s="3" t="s">
        <v>318</v>
      </c>
      <c r="B37" s="3">
        <f>COUNTIF(Structured_Branches!$I:$I,"")</f>
        <v>1048514</v>
      </c>
    </row>
    <row r="38" spans="1:2">
      <c r="A38" s="3" t="s">
        <v>319</v>
      </c>
      <c r="B38" s="3">
        <f>COUNTIF(Structured_Branches!$J:$J,"")</f>
        <v>1048514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Structured_Branches</vt:lpstr>
      <vt:lpstr>City_Summary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asmaa</cp:lastModifiedBy>
  <dcterms:created xsi:type="dcterms:W3CDTF">2026-03-24T10:30:04Z</dcterms:created>
  <dcterms:modified xsi:type="dcterms:W3CDTF">2026-03-24T10:38:50Z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F45008F7407548348A4CE129F6E7864C_12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